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6.10.61\9-工程開發\20 耕耘中個案\030-宏洋-羅東聖母系列\202508-礁溪杏和醫院\D預算報價\"/>
    </mc:Choice>
  </mc:AlternateContent>
  <xr:revisionPtr revIDLastSave="0" documentId="8_{6172A9EC-159C-4A46-BD1B-CFD19A1C628E}" xr6:coauthVersionLast="47" xr6:coauthVersionMax="47" xr10:uidLastSave="{00000000-0000-0000-0000-000000000000}"/>
  <bookViews>
    <workbookView xWindow="19090" yWindow="-1270" windowWidth="19420" windowHeight="11500" tabRatio="656" xr2:uid="{00000000-000D-0000-FFFF-FFFF00000000}"/>
  </bookViews>
  <sheets>
    <sheet name="3、7F裝修工程" sheetId="23" r:id="rId1"/>
  </sheets>
  <definedNames>
    <definedName name="_xlnm.Print_Area" localSheetId="0">'3、7F裝修工程'!$A$1:$G$98</definedName>
    <definedName name="_xlnm.Print_Titles" localSheetId="0">'3、7F裝修工程'!$1:$8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" i="23" l="1"/>
  <c r="J71" i="23"/>
  <c r="K71" i="23" s="1"/>
  <c r="L71" i="23" s="1"/>
  <c r="F56" i="23"/>
  <c r="K56" i="23" s="1"/>
  <c r="L56" i="23" s="1"/>
  <c r="J56" i="23"/>
  <c r="F82" i="23" l="1"/>
  <c r="J82" i="23"/>
  <c r="F73" i="23"/>
  <c r="J73" i="23"/>
  <c r="J81" i="23"/>
  <c r="F81" i="23"/>
  <c r="F45" i="23"/>
  <c r="J45" i="23"/>
  <c r="J80" i="23"/>
  <c r="F79" i="23"/>
  <c r="F80" i="23"/>
  <c r="J79" i="23"/>
  <c r="F78" i="23"/>
  <c r="J78" i="23"/>
  <c r="F77" i="23"/>
  <c r="J77" i="23"/>
  <c r="J92" i="23"/>
  <c r="F92" i="23"/>
  <c r="F87" i="23"/>
  <c r="F86" i="23"/>
  <c r="J57" i="23"/>
  <c r="F64" i="23"/>
  <c r="F65" i="23"/>
  <c r="F63" i="23"/>
  <c r="J63" i="23"/>
  <c r="J64" i="23"/>
  <c r="J65" i="23"/>
  <c r="J62" i="23"/>
  <c r="F43" i="23"/>
  <c r="F44" i="23"/>
  <c r="F46" i="23"/>
  <c r="J46" i="23"/>
  <c r="J44" i="23"/>
  <c r="F42" i="23"/>
  <c r="J42" i="23"/>
  <c r="J54" i="23"/>
  <c r="J55" i="23"/>
  <c r="J58" i="23"/>
  <c r="F58" i="23"/>
  <c r="J48" i="23"/>
  <c r="F48" i="23"/>
  <c r="F83" i="23" l="1"/>
  <c r="J66" i="23"/>
  <c r="J12" i="23" s="1"/>
  <c r="J83" i="23"/>
  <c r="K45" i="23"/>
  <c r="L45" i="23" s="1"/>
  <c r="K81" i="23"/>
  <c r="L81" i="23" s="1"/>
  <c r="K73" i="23"/>
  <c r="L73" i="23" s="1"/>
  <c r="E14" i="23"/>
  <c r="F14" i="23" s="1"/>
  <c r="K79" i="23"/>
  <c r="L79" i="23" s="1"/>
  <c r="K80" i="23"/>
  <c r="L80" i="23" s="1"/>
  <c r="K82" i="23"/>
  <c r="L82" i="23" s="1"/>
  <c r="K77" i="23"/>
  <c r="K78" i="23"/>
  <c r="L78" i="23" s="1"/>
  <c r="K92" i="23"/>
  <c r="L92" i="23" s="1"/>
  <c r="K46" i="23"/>
  <c r="L46" i="23" s="1"/>
  <c r="K64" i="23"/>
  <c r="L64" i="23" s="1"/>
  <c r="K63" i="23"/>
  <c r="L63" i="23" s="1"/>
  <c r="K65" i="23"/>
  <c r="L65" i="23" s="1"/>
  <c r="K44" i="23"/>
  <c r="L44" i="23" s="1"/>
  <c r="K42" i="23"/>
  <c r="L42" i="23" s="1"/>
  <c r="K48" i="23"/>
  <c r="L48" i="23" s="1"/>
  <c r="K58" i="23"/>
  <c r="L58" i="23" s="1"/>
  <c r="K83" i="23" l="1"/>
  <c r="L83" i="23" s="1"/>
  <c r="J14" i="23"/>
  <c r="K14" i="23"/>
  <c r="L14" i="23" s="1"/>
  <c r="L77" i="23"/>
  <c r="F54" i="23"/>
  <c r="F55" i="23"/>
  <c r="F57" i="23"/>
  <c r="K57" i="23" s="1"/>
  <c r="L57" i="23" s="1"/>
  <c r="J72" i="23"/>
  <c r="F72" i="23"/>
  <c r="K72" i="23" l="1"/>
  <c r="L72" i="23" s="1"/>
  <c r="K55" i="23"/>
  <c r="L55" i="23" s="1"/>
  <c r="F70" i="23"/>
  <c r="J70" i="23"/>
  <c r="K70" i="23" l="1"/>
  <c r="L70" i="23" s="1"/>
  <c r="F62" i="23"/>
  <c r="F66" i="23" s="1"/>
  <c r="K66" i="23" s="1"/>
  <c r="L66" i="23" s="1"/>
  <c r="M57" i="23"/>
  <c r="K62" i="23" l="1"/>
  <c r="L62" i="23" s="1"/>
  <c r="F96" i="23"/>
  <c r="J96" i="23"/>
  <c r="J95" i="23"/>
  <c r="F95" i="23"/>
  <c r="J94" i="23"/>
  <c r="J93" i="23"/>
  <c r="J97" i="23" s="1"/>
  <c r="J16" i="23" s="1"/>
  <c r="F94" i="23"/>
  <c r="F93" i="23"/>
  <c r="F97" i="23" s="1"/>
  <c r="E16" i="23" l="1"/>
  <c r="F16" i="23" s="1"/>
  <c r="K95" i="23"/>
  <c r="L95" i="23" s="1"/>
  <c r="K93" i="23"/>
  <c r="L93" i="23" s="1"/>
  <c r="K94" i="23"/>
  <c r="L94" i="23" s="1"/>
  <c r="K96" i="23"/>
  <c r="L96" i="23" s="1"/>
  <c r="K16" i="23" l="1"/>
  <c r="L16" i="23" s="1"/>
  <c r="F88" i="23"/>
  <c r="F89" i="23" s="1"/>
  <c r="J88" i="23"/>
  <c r="E15" i="23" l="1"/>
  <c r="F15" i="23" s="1"/>
  <c r="K88" i="23"/>
  <c r="L88" i="23" s="1"/>
  <c r="F52" i="23" l="1"/>
  <c r="F53" i="23"/>
  <c r="J52" i="23"/>
  <c r="J53" i="23"/>
  <c r="F59" i="23" l="1"/>
  <c r="J59" i="23"/>
  <c r="J11" i="23" s="1"/>
  <c r="K59" i="23" l="1"/>
  <c r="L59" i="23" s="1"/>
  <c r="E11" i="23"/>
  <c r="F11" i="23" s="1"/>
  <c r="J86" i="23"/>
  <c r="J47" i="23"/>
  <c r="J43" i="23"/>
  <c r="J41" i="23"/>
  <c r="J40" i="23"/>
  <c r="F40" i="23"/>
  <c r="J49" i="23" l="1"/>
  <c r="J10" i="23"/>
  <c r="K86" i="23"/>
  <c r="L86" i="23" s="1"/>
  <c r="K40" i="23"/>
  <c r="L40" i="23" s="1"/>
  <c r="F69" i="23" l="1"/>
  <c r="F74" i="23" s="1"/>
  <c r="J69" i="23"/>
  <c r="J74" i="23" s="1"/>
  <c r="J13" i="23" s="1"/>
  <c r="K74" i="23" l="1"/>
  <c r="L74" i="23" s="1"/>
  <c r="E13" i="23"/>
  <c r="F13" i="23" s="1"/>
  <c r="K69" i="23"/>
  <c r="L69" i="23" l="1"/>
  <c r="K13" i="23"/>
  <c r="L13" i="23" s="1"/>
  <c r="J87" i="23"/>
  <c r="J89" i="23" s="1"/>
  <c r="K89" i="23" l="1"/>
  <c r="L89" i="23" s="1"/>
  <c r="J15" i="23"/>
  <c r="J17" i="23" s="1"/>
  <c r="K87" i="23"/>
  <c r="L87" i="23" l="1"/>
  <c r="K15" i="23"/>
  <c r="L15" i="23" s="1"/>
  <c r="E12" i="23"/>
  <c r="F12" i="23" s="1"/>
  <c r="K12" i="23" s="1"/>
  <c r="L12" i="23" s="1"/>
  <c r="K54" i="23"/>
  <c r="L54" i="23" s="1"/>
  <c r="K97" i="23" l="1"/>
  <c r="L97" i="23" s="1"/>
  <c r="K53" i="23" l="1"/>
  <c r="L53" i="23" s="1"/>
  <c r="K52" i="23"/>
  <c r="L52" i="23" s="1"/>
  <c r="K43" i="23"/>
  <c r="L43" i="23" s="1"/>
  <c r="F47" i="23"/>
  <c r="K47" i="23" s="1"/>
  <c r="L47" i="23" s="1"/>
  <c r="F41" i="23"/>
  <c r="F49" i="23" s="1"/>
  <c r="K49" i="23" l="1"/>
  <c r="L49" i="23" s="1"/>
  <c r="K41" i="23"/>
  <c r="L41" i="23" s="1"/>
  <c r="E10" i="23" l="1"/>
  <c r="F10" i="23" s="1"/>
  <c r="F17" i="23" s="1"/>
  <c r="K17" i="23" s="1"/>
  <c r="L17" i="23" l="1"/>
  <c r="E23" i="23"/>
  <c r="E24" i="23"/>
  <c r="E21" i="23"/>
  <c r="E22" i="23"/>
  <c r="K10" i="23"/>
  <c r="L10" i="23" s="1"/>
  <c r="K11" i="23" l="1"/>
  <c r="L11" i="23" s="1"/>
  <c r="F24" i="23" l="1"/>
  <c r="F21" i="23"/>
  <c r="F23" i="23"/>
  <c r="F22" i="23"/>
  <c r="F25" i="23" l="1"/>
  <c r="F26" i="23" s="1"/>
  <c r="F27" i="23" s="1"/>
  <c r="F28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凃政宏</author>
  </authors>
  <commentList>
    <comment ref="I53" authorId="0" shapeId="0" xr:uid="{BA37A164-026B-4EF8-8FDB-068F891BB2EB}">
      <text>
        <r>
          <rPr>
            <b/>
            <sz val="9"/>
            <color indexed="81"/>
            <rFont val="細明體"/>
            <family val="3"/>
            <charset val="136"/>
          </rPr>
          <t>凃政宏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細明體"/>
            <family val="3"/>
            <charset val="136"/>
          </rPr>
          <t>含清運單價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細明體"/>
            <family val="3"/>
            <charset val="136"/>
          </rPr>
          <t xml:space="preserve">宜蘭價格
</t>
        </r>
      </text>
    </comment>
  </commentList>
</comments>
</file>

<file path=xl/sharedStrings.xml><?xml version="1.0" encoding="utf-8"?>
<sst xmlns="http://schemas.openxmlformats.org/spreadsheetml/2006/main" count="223" uniqueCount="166">
  <si>
    <t>新北市三重區三和路四段103號7樓  TEL: 02-22867899 FAX: 02-22869566</t>
    <phoneticPr fontId="8" type="noConversion"/>
  </si>
  <si>
    <t>項次</t>
    <phoneticPr fontId="9" type="noConversion"/>
  </si>
  <si>
    <t>單位</t>
    <phoneticPr fontId="9" type="noConversion"/>
  </si>
  <si>
    <t>Item</t>
    <phoneticPr fontId="9" type="noConversion"/>
  </si>
  <si>
    <t>Description</t>
    <phoneticPr fontId="9" type="noConversion"/>
  </si>
  <si>
    <t>Unit</t>
    <phoneticPr fontId="9" type="noConversion"/>
  </si>
  <si>
    <t>Quantity</t>
    <phoneticPr fontId="9" type="noConversion"/>
  </si>
  <si>
    <t>Unit Price</t>
    <phoneticPr fontId="9" type="noConversion"/>
  </si>
  <si>
    <t>Amount</t>
    <phoneticPr fontId="9" type="noConversion"/>
  </si>
  <si>
    <t>Remarks</t>
    <phoneticPr fontId="9" type="noConversion"/>
  </si>
  <si>
    <t>名         稱</t>
    <phoneticPr fontId="9" type="noConversion"/>
  </si>
  <si>
    <t>數  量</t>
    <phoneticPr fontId="9" type="noConversion"/>
  </si>
  <si>
    <t>單  價</t>
    <phoneticPr fontId="9" type="noConversion"/>
  </si>
  <si>
    <t>總  價</t>
    <phoneticPr fontId="9" type="noConversion"/>
  </si>
  <si>
    <t>備    註</t>
    <phoneticPr fontId="9" type="noConversion"/>
  </si>
  <si>
    <t>CLIENT   業主 :</t>
    <phoneticPr fontId="9" type="noConversion"/>
  </si>
  <si>
    <t>PROJECT   工程名稱 :</t>
    <phoneticPr fontId="9" type="noConversion"/>
  </si>
  <si>
    <t>LOCATION   工程地點：</t>
    <phoneticPr fontId="9" type="noConversion"/>
  </si>
  <si>
    <t>PROJECT NO   工程編號 :</t>
    <phoneticPr fontId="9" type="noConversion"/>
  </si>
  <si>
    <t>天主教靈醫會醫療財團法人羅東聖母醫院</t>
    <phoneticPr fontId="9" type="noConversion"/>
  </si>
  <si>
    <t>甲</t>
    <phoneticPr fontId="9" type="noConversion"/>
  </si>
  <si>
    <t>甲.貳</t>
    <phoneticPr fontId="9" type="noConversion"/>
  </si>
  <si>
    <t>式</t>
    <phoneticPr fontId="8" type="noConversion"/>
  </si>
  <si>
    <t>甲.叁</t>
    <phoneticPr fontId="9" type="noConversion"/>
  </si>
  <si>
    <t>直接工程費</t>
    <phoneticPr fontId="9" type="noConversion"/>
  </si>
  <si>
    <t>直接工程費小計</t>
    <phoneticPr fontId="8" type="noConversion"/>
  </si>
  <si>
    <t>拆除工程</t>
    <phoneticPr fontId="8" type="noConversion"/>
  </si>
  <si>
    <t>假設工程</t>
    <phoneticPr fontId="8" type="noConversion"/>
  </si>
  <si>
    <t>甲.壹.</t>
    <phoneticPr fontId="9" type="noConversion"/>
  </si>
  <si>
    <t>施工臨時水電設施及費用</t>
    <phoneticPr fontId="8" type="noConversion"/>
  </si>
  <si>
    <t>門窗工程</t>
    <phoneticPr fontId="8" type="noConversion"/>
  </si>
  <si>
    <t>m</t>
    <phoneticPr fontId="8" type="noConversion"/>
  </si>
  <si>
    <t>甲.壹</t>
    <phoneticPr fontId="9" type="noConversion"/>
  </si>
  <si>
    <t>拆除工程小計</t>
    <phoneticPr fontId="8" type="noConversion"/>
  </si>
  <si>
    <t>假設工程小計</t>
    <phoneticPr fontId="8" type="noConversion"/>
  </si>
  <si>
    <t>地面工程</t>
    <phoneticPr fontId="8" type="noConversion"/>
  </si>
  <si>
    <t>式</t>
  </si>
  <si>
    <t>合計</t>
    <phoneticPr fontId="8" type="noConversion"/>
  </si>
  <si>
    <t>單價</t>
    <phoneticPr fontId="9" type="noConversion"/>
  </si>
  <si>
    <t>總價</t>
    <phoneticPr fontId="9" type="noConversion"/>
  </si>
  <si>
    <t>毛利</t>
    <phoneticPr fontId="9" type="noConversion"/>
  </si>
  <si>
    <t>毛利率</t>
    <phoneticPr fontId="9" type="noConversion"/>
  </si>
  <si>
    <t>雜項工程</t>
    <phoneticPr fontId="8" type="noConversion"/>
  </si>
  <si>
    <t>施工測量，工地放樣</t>
    <phoneticPr fontId="8" type="noConversion"/>
  </si>
  <si>
    <t>㎡</t>
  </si>
  <si>
    <t>稅金</t>
    <phoneticPr fontId="8" type="noConversion"/>
  </si>
  <si>
    <t>乙</t>
    <phoneticPr fontId="9" type="noConversion"/>
  </si>
  <si>
    <t>間接工程費</t>
    <phoneticPr fontId="9" type="noConversion"/>
  </si>
  <si>
    <t>乙.壹</t>
    <phoneticPr fontId="9" type="noConversion"/>
  </si>
  <si>
    <t>職業安全衛生管理及環境保護費</t>
    <phoneticPr fontId="8" type="noConversion"/>
  </si>
  <si>
    <t>乙.叁</t>
    <phoneticPr fontId="9" type="noConversion"/>
  </si>
  <si>
    <t>品質管理費</t>
    <phoneticPr fontId="8" type="noConversion"/>
  </si>
  <si>
    <t>承商工程利潤管理費</t>
    <phoneticPr fontId="8" type="noConversion"/>
  </si>
  <si>
    <t>乙.肆</t>
    <phoneticPr fontId="9" type="noConversion"/>
  </si>
  <si>
    <t>乙.伍</t>
    <phoneticPr fontId="9" type="noConversion"/>
  </si>
  <si>
    <t>工程保險</t>
    <phoneticPr fontId="8" type="noConversion"/>
  </si>
  <si>
    <t>間接工程費小計</t>
    <phoneticPr fontId="8" type="noConversion"/>
  </si>
  <si>
    <t>宜蘭縣礁溪鄉礁溪路四段129號</t>
    <phoneticPr fontId="9" type="noConversion"/>
  </si>
  <si>
    <t>P.S .</t>
    <phoneticPr fontId="9" type="noConversion"/>
  </si>
  <si>
    <t>1. 本報價單以白天常態施工估算，不包括夜間及假日施工。</t>
    <phoneticPr fontId="8" type="noConversion"/>
  </si>
  <si>
    <t>施工粗清(含垃圾清運)</t>
    <phoneticPr fontId="8" type="noConversion"/>
  </si>
  <si>
    <t>甲.壹.1</t>
    <phoneticPr fontId="9" type="noConversion"/>
  </si>
  <si>
    <t>甲.壹.2</t>
  </si>
  <si>
    <t>甲.壹.3</t>
  </si>
  <si>
    <t>甲.壹.4</t>
  </si>
  <si>
    <t>甲.貳.1</t>
    <phoneticPr fontId="8" type="noConversion"/>
  </si>
  <si>
    <t>甲.貳.2</t>
  </si>
  <si>
    <t>甲.貳.3</t>
  </si>
  <si>
    <t>甲.貳.4</t>
  </si>
  <si>
    <t>總計</t>
    <phoneticPr fontId="8" type="noConversion"/>
  </si>
  <si>
    <t>含稅</t>
    <phoneticPr fontId="8" type="noConversion"/>
  </si>
  <si>
    <t>施工機具搬運費</t>
    <phoneticPr fontId="8" type="noConversion"/>
  </si>
  <si>
    <t>甲.壹.5</t>
  </si>
  <si>
    <t>垃圾清運車</t>
    <phoneticPr fontId="8" type="noConversion"/>
  </si>
  <si>
    <t>垃圾清運工</t>
    <phoneticPr fontId="8" type="noConversion"/>
  </si>
  <si>
    <t>地坪1:3水泥砂漿貼仿岩石英磚</t>
    <phoneticPr fontId="8" type="noConversion"/>
  </si>
  <si>
    <t>1F花台拆除工程</t>
    <phoneticPr fontId="8" type="noConversion"/>
  </si>
  <si>
    <t>1F磚牆拆除工程</t>
    <phoneticPr fontId="8" type="noConversion"/>
  </si>
  <si>
    <t>1F雨遮拆除工程</t>
    <phoneticPr fontId="8" type="noConversion"/>
  </si>
  <si>
    <t>零星雜項現場修補復原工程費</t>
    <phoneticPr fontId="8" type="noConversion"/>
  </si>
  <si>
    <t>1F落地門窗拆除工程</t>
    <phoneticPr fontId="8" type="noConversion"/>
  </si>
  <si>
    <t>甲.壹.6</t>
  </si>
  <si>
    <t>室外施工圍籬</t>
    <phoneticPr fontId="8" type="noConversion"/>
  </si>
  <si>
    <t>室內施工圍籬</t>
    <phoneticPr fontId="8" type="noConversion"/>
  </si>
  <si>
    <t>格柵工程</t>
    <phoneticPr fontId="8" type="noConversion"/>
  </si>
  <si>
    <t>烤漆鋁格柵</t>
    <phoneticPr fontId="8" type="noConversion"/>
  </si>
  <si>
    <t>鋁製格柵開門</t>
    <phoneticPr fontId="8" type="noConversion"/>
  </si>
  <si>
    <t>鋁製格柵拉門</t>
    <phoneticPr fontId="8" type="noConversion"/>
  </si>
  <si>
    <t>牆面破損修補</t>
    <phoneticPr fontId="8" type="noConversion"/>
  </si>
  <si>
    <t>鋁窗工程</t>
    <phoneticPr fontId="8" type="noConversion"/>
  </si>
  <si>
    <t>電動自動門</t>
    <phoneticPr fontId="8" type="noConversion"/>
  </si>
  <si>
    <t>甲.壹.7</t>
  </si>
  <si>
    <t>門窗框週邊泥作水泥灌漿填縫</t>
    <phoneticPr fontId="8" type="noConversion"/>
  </si>
  <si>
    <t>門窗外框雙面耐候型矽利康施打</t>
    <phoneticPr fontId="8" type="noConversion"/>
  </si>
  <si>
    <t>甲.壹.8</t>
  </si>
  <si>
    <t>作業車進退場拖運費</t>
    <phoneticPr fontId="8" type="noConversion"/>
  </si>
  <si>
    <t>高空作業車租賃</t>
    <phoneticPr fontId="8" type="noConversion"/>
  </si>
  <si>
    <t>天</t>
    <phoneticPr fontId="8" type="noConversion"/>
  </si>
  <si>
    <t>兩台同時作業</t>
    <phoneticPr fontId="8" type="noConversion"/>
  </si>
  <si>
    <t>W100</t>
    <phoneticPr fontId="8" type="noConversion"/>
  </si>
  <si>
    <t>W180</t>
    <phoneticPr fontId="8" type="noConversion"/>
  </si>
  <si>
    <t>玻璃隔熱貼膜</t>
    <phoneticPr fontId="8" type="noConversion"/>
  </si>
  <si>
    <t>甲.貳.5</t>
  </si>
  <si>
    <t>甲.貳.6</t>
  </si>
  <si>
    <t>甲.貳.7</t>
  </si>
  <si>
    <t>1F戶外地磚拆除工程</t>
    <phoneticPr fontId="8" type="noConversion"/>
  </si>
  <si>
    <t>地面金屬收邊條</t>
    <phoneticPr fontId="8" type="noConversion"/>
  </si>
  <si>
    <t>地面打底</t>
    <phoneticPr fontId="8" type="noConversion"/>
  </si>
  <si>
    <t>招牌中文立體字</t>
    <phoneticPr fontId="8" type="noConversion"/>
  </si>
  <si>
    <t>招牌英文立體字</t>
    <phoneticPr fontId="8" type="noConversion"/>
  </si>
  <si>
    <t>礁溪杏和醫院1F外觀整修工程</t>
    <phoneticPr fontId="9" type="noConversion"/>
  </si>
  <si>
    <t>3.本工程報價若因室裝圖審要而產生之衍生工程費用，則另行報價。</t>
    <phoneticPr fontId="8" type="noConversion"/>
  </si>
  <si>
    <t>4.本工程未含既有活動家具拆除清運。</t>
    <phoneticPr fontId="8" type="noConversion"/>
  </si>
  <si>
    <t>5.付款方式：簽約金30%, 雨遮工程完成30%, 清潔工程進場30%, 工程驗收10%.</t>
    <phoneticPr fontId="8" type="noConversion"/>
  </si>
  <si>
    <t>6.本報價單有效期限2026.09.30。</t>
    <phoneticPr fontId="8" type="noConversion"/>
  </si>
  <si>
    <t>雨遮工程</t>
    <phoneticPr fontId="8" type="noConversion"/>
  </si>
  <si>
    <t>內部重型鋼骨骨架</t>
    <phoneticPr fontId="8" type="noConversion"/>
  </si>
  <si>
    <t>kg</t>
    <phoneticPr fontId="8" type="noConversion"/>
  </si>
  <si>
    <t>懸吊拉桿與牆面預埋件</t>
    <phoneticPr fontId="8" type="noConversion"/>
  </si>
  <si>
    <t>戶外烤漆鋁包板</t>
    <phoneticPr fontId="8" type="noConversion"/>
  </si>
  <si>
    <t>立體折角造型鋁包版</t>
    <phoneticPr fontId="8" type="noConversion"/>
  </si>
  <si>
    <t>米</t>
    <phoneticPr fontId="8" type="noConversion"/>
  </si>
  <si>
    <t>甲.壹.9</t>
  </si>
  <si>
    <t>大型吊車租賃</t>
    <phoneticPr fontId="8" type="noConversion"/>
  </si>
  <si>
    <t>雨遮頂部防水、洩水坡</t>
    <phoneticPr fontId="8" type="noConversion"/>
  </si>
  <si>
    <t>板縫耐候型 Silicone 矽利康填縫</t>
    <phoneticPr fontId="8" type="noConversion"/>
  </si>
  <si>
    <t>填縫劑，矽酮類，全工區範圍修補，Silicon填縫</t>
    <phoneticPr fontId="8" type="noConversion"/>
  </si>
  <si>
    <t>甲.叁</t>
    <phoneticPr fontId="8" type="noConversion"/>
  </si>
  <si>
    <r>
      <t>甲.</t>
    </r>
    <r>
      <rPr>
        <sz val="12"/>
        <rFont val="Microsoft JhengHei UI"/>
        <family val="2"/>
        <charset val="136"/>
      </rPr>
      <t>肆</t>
    </r>
    <phoneticPr fontId="8" type="noConversion"/>
  </si>
  <si>
    <t>甲.伍</t>
    <phoneticPr fontId="8" type="noConversion"/>
  </si>
  <si>
    <t>甲.陸</t>
    <phoneticPr fontId="8" type="noConversion"/>
  </si>
  <si>
    <t>甲.柒</t>
    <phoneticPr fontId="8" type="noConversion"/>
  </si>
  <si>
    <t>甲.叁.2</t>
  </si>
  <si>
    <t>甲.叁.3</t>
  </si>
  <si>
    <t>甲.叁.4</t>
  </si>
  <si>
    <t>甲.肆</t>
    <phoneticPr fontId="9" type="noConversion"/>
  </si>
  <si>
    <t>甲.肆.1</t>
    <phoneticPr fontId="9" type="noConversion"/>
  </si>
  <si>
    <t>甲.肆.4</t>
  </si>
  <si>
    <t>甲.肆.2</t>
  </si>
  <si>
    <t>甲.肆.3</t>
  </si>
  <si>
    <t>甲.伍</t>
    <phoneticPr fontId="9" type="noConversion"/>
  </si>
  <si>
    <t>甲.伍.1</t>
    <phoneticPr fontId="9" type="noConversion"/>
  </si>
  <si>
    <t>甲.伍.2</t>
  </si>
  <si>
    <t>甲.伍.3</t>
  </si>
  <si>
    <t>甲.伍.4</t>
  </si>
  <si>
    <t>甲.伍.5</t>
  </si>
  <si>
    <t>甲.伍.6</t>
  </si>
  <si>
    <t>甲.陸</t>
    <phoneticPr fontId="9" type="noConversion"/>
  </si>
  <si>
    <t>甲.陸.1</t>
    <phoneticPr fontId="8" type="noConversion"/>
  </si>
  <si>
    <t>甲.陸.2</t>
  </si>
  <si>
    <t>甲.陸.3</t>
  </si>
  <si>
    <t>甲.柒</t>
    <phoneticPr fontId="9" type="noConversion"/>
  </si>
  <si>
    <t>甲.柒.1</t>
    <phoneticPr fontId="9" type="noConversion"/>
  </si>
  <si>
    <t>甲.柒.2</t>
  </si>
  <si>
    <t>甲.柒.3</t>
  </si>
  <si>
    <t>甲.柒.4</t>
  </si>
  <si>
    <t>甲.柒.5</t>
  </si>
  <si>
    <t>甲.叁.1</t>
    <phoneticPr fontId="8" type="noConversion"/>
  </si>
  <si>
    <t>格柵工程小計</t>
    <phoneticPr fontId="8" type="noConversion"/>
  </si>
  <si>
    <t>門窗工程小計</t>
    <phoneticPr fontId="8" type="noConversion"/>
  </si>
  <si>
    <t>雨遮工程小計</t>
    <phoneticPr fontId="8" type="noConversion"/>
  </si>
  <si>
    <t>雜項工程小計</t>
    <phoneticPr fontId="8" type="noConversion"/>
  </si>
  <si>
    <t>地面工程小計</t>
    <phoneticPr fontId="8" type="noConversion"/>
  </si>
  <si>
    <t>甲.肆.5</t>
  </si>
  <si>
    <t>戶外雙開門</t>
    <phoneticPr fontId="8" type="noConversion"/>
  </si>
  <si>
    <t>W180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</si>
</sst>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0_);[Red]\(0\)"/>
    <numFmt numFmtId="177" formatCode="_-* #,##0_-;\-* #,##0_-;_-* &quot;-&quot;??_-;_-@_-"/>
    <numFmt numFmtId="178" formatCode="#,##0_);[Red]\(#,##0\)"/>
    <numFmt numFmtId="179" formatCode="0.0%"/>
    <numFmt numFmtId="180" formatCode="_-* #,##0.0_-;\-* #,##0.0_-;_-* &quot;-&quot;?_-;_-@_-"/>
    <numFmt numFmtId="181" formatCode="_-* #,##0.0_-;\-* #,##0.0_-;_-* &quot;-&quot;??_-;_-@_-"/>
  </numFmts>
  <fonts count="46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Helv"/>
      <family val="2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color indexed="48"/>
      <name val="微軟正黑體"/>
      <family val="2"/>
      <charset val="136"/>
    </font>
    <font>
      <sz val="6"/>
      <name val="微軟正黑體"/>
      <family val="2"/>
      <charset val="136"/>
    </font>
    <font>
      <sz val="1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9"/>
      <name val="微軟正黑體"/>
      <family val="2"/>
      <charset val="136"/>
    </font>
    <font>
      <sz val="8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19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name val="?"/>
      <family val="3"/>
      <charset val="136"/>
    </font>
    <font>
      <sz val="12"/>
      <name val="Courier"/>
      <family val="3"/>
    </font>
    <font>
      <sz val="12"/>
      <color theme="1"/>
      <name val="新細明體"/>
      <family val="2"/>
      <charset val="136"/>
      <scheme val="minor"/>
    </font>
    <font>
      <b/>
      <sz val="8"/>
      <name val="微軟正黑體"/>
      <family val="2"/>
      <charset val="136"/>
    </font>
    <font>
      <sz val="11"/>
      <name val="微軟正黑體"/>
      <family val="2"/>
      <charset val="136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2"/>
      <color theme="8" tint="-0.249977111117893"/>
      <name val="微軟正黑體"/>
      <family val="2"/>
      <charset val="136"/>
    </font>
    <font>
      <sz val="10"/>
      <color theme="8" tint="-0.499984740745262"/>
      <name val="微軟正黑體"/>
      <family val="2"/>
      <charset val="136"/>
    </font>
    <font>
      <sz val="12"/>
      <color theme="8" tint="-0.499984740745262"/>
      <name val="微軟正黑體"/>
      <family val="2"/>
      <charset val="136"/>
    </font>
    <font>
      <sz val="11"/>
      <color theme="8" tint="-0.499984740745262"/>
      <name val="微軟正黑體"/>
      <family val="2"/>
      <charset val="136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sz val="12"/>
      <name val="Microsoft JhengHei UI"/>
      <family val="2"/>
      <charset val="136"/>
    </font>
  </fonts>
  <fills count="2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00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>
      <alignment vertical="center"/>
    </xf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33" fillId="0" borderId="0"/>
    <xf numFmtId="0" fontId="1" fillId="0" borderId="0">
      <alignment vertical="center"/>
    </xf>
    <xf numFmtId="0" fontId="16" fillId="0" borderId="0">
      <alignment vertical="center"/>
    </xf>
    <xf numFmtId="0" fontId="1" fillId="0" borderId="0"/>
    <xf numFmtId="0" fontId="1" fillId="0" borderId="0"/>
    <xf numFmtId="0" fontId="16" fillId="0" borderId="0">
      <alignment vertical="center"/>
    </xf>
    <xf numFmtId="0" fontId="1" fillId="0" borderId="0"/>
    <xf numFmtId="0" fontId="1" fillId="0" borderId="0"/>
    <xf numFmtId="0" fontId="16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23" applyNumberFormat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1" fillId="5" borderId="2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23" applyNumberFormat="0" applyAlignment="0" applyProtection="0">
      <alignment vertical="center"/>
    </xf>
    <xf numFmtId="0" fontId="29" fillId="13" borderId="29" applyNumberFormat="0" applyAlignment="0" applyProtection="0">
      <alignment vertical="center"/>
    </xf>
    <xf numFmtId="0" fontId="30" fillId="18" borderId="30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>
      <alignment vertical="center"/>
    </xf>
    <xf numFmtId="0" fontId="43" fillId="0" borderId="0"/>
    <xf numFmtId="9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3" fillId="0" borderId="5" xfId="1" applyFont="1" applyBorder="1"/>
    <xf numFmtId="0" fontId="3" fillId="0" borderId="6" xfId="1" applyFont="1" applyBorder="1"/>
    <xf numFmtId="0" fontId="6" fillId="0" borderId="15" xfId="1" applyFont="1" applyBorder="1"/>
    <xf numFmtId="0" fontId="11" fillId="0" borderId="0" xfId="0" applyFont="1">
      <alignment vertical="center"/>
    </xf>
    <xf numFmtId="0" fontId="3" fillId="0" borderId="0" xfId="0" applyFont="1" applyAlignment="1"/>
    <xf numFmtId="0" fontId="3" fillId="0" borderId="9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178" fontId="3" fillId="0" borderId="3" xfId="1" applyNumberFormat="1" applyFont="1" applyBorder="1" applyAlignment="1">
      <alignment horizontal="center"/>
    </xf>
    <xf numFmtId="0" fontId="3" fillId="0" borderId="0" xfId="1" applyFont="1"/>
    <xf numFmtId="0" fontId="14" fillId="0" borderId="11" xfId="1" applyFont="1" applyBorder="1" applyAlignment="1">
      <alignment horizontal="center"/>
    </xf>
    <xf numFmtId="0" fontId="14" fillId="0" borderId="2" xfId="1" applyFont="1" applyBorder="1" applyAlignment="1">
      <alignment horizontal="center"/>
    </xf>
    <xf numFmtId="178" fontId="14" fillId="0" borderId="2" xfId="1" applyNumberFormat="1" applyFont="1" applyBorder="1" applyAlignment="1">
      <alignment horizontal="center"/>
    </xf>
    <xf numFmtId="178" fontId="3" fillId="0" borderId="0" xfId="1" applyNumberFormat="1" applyFont="1"/>
    <xf numFmtId="177" fontId="3" fillId="0" borderId="3" xfId="4" applyNumberFormat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177" fontId="14" fillId="0" borderId="2" xfId="4" applyNumberFormat="1" applyFont="1" applyBorder="1" applyAlignment="1">
      <alignment horizontal="center"/>
    </xf>
    <xf numFmtId="0" fontId="14" fillId="0" borderId="12" xfId="1" applyFont="1" applyBorder="1" applyAlignment="1">
      <alignment horizontal="center"/>
    </xf>
    <xf numFmtId="0" fontId="3" fillId="0" borderId="0" xfId="1" applyFont="1" applyAlignment="1">
      <alignment horizontal="center"/>
    </xf>
    <xf numFmtId="177" fontId="11" fillId="0" borderId="0" xfId="4" applyNumberFormat="1" applyFont="1"/>
    <xf numFmtId="0" fontId="3" fillId="0" borderId="0" xfId="0" applyFont="1">
      <alignment vertical="center"/>
    </xf>
    <xf numFmtId="0" fontId="3" fillId="0" borderId="4" xfId="1" applyFont="1" applyBorder="1" applyAlignment="1">
      <alignment horizontal="center"/>
    </xf>
    <xf numFmtId="0" fontId="3" fillId="0" borderId="4" xfId="1" applyFont="1" applyBorder="1" applyAlignment="1">
      <alignment horizontal="left"/>
    </xf>
    <xf numFmtId="0" fontId="3" fillId="0" borderId="4" xfId="1" applyFont="1" applyBorder="1" applyAlignment="1">
      <alignment horizontal="left" wrapText="1"/>
    </xf>
    <xf numFmtId="177" fontId="3" fillId="0" borderId="0" xfId="93" applyNumberFormat="1" applyFont="1" applyAlignment="1"/>
    <xf numFmtId="176" fontId="3" fillId="0" borderId="13" xfId="1" applyNumberFormat="1" applyFont="1" applyBorder="1" applyAlignment="1">
      <alignment horizontal="left"/>
    </xf>
    <xf numFmtId="178" fontId="3" fillId="0" borderId="4" xfId="1" applyNumberFormat="1" applyFont="1" applyBorder="1" applyAlignment="1">
      <alignment horizontal="right"/>
    </xf>
    <xf numFmtId="0" fontId="15" fillId="0" borderId="4" xfId="1" applyFont="1" applyBorder="1" applyAlignment="1">
      <alignment horizontal="left"/>
    </xf>
    <xf numFmtId="178" fontId="15" fillId="0" borderId="4" xfId="1" applyNumberFormat="1" applyFont="1" applyBorder="1" applyAlignment="1">
      <alignment horizontal="right"/>
    </xf>
    <xf numFmtId="177" fontId="3" fillId="0" borderId="0" xfId="93" applyNumberFormat="1" applyFont="1">
      <alignment vertical="center"/>
    </xf>
    <xf numFmtId="177" fontId="11" fillId="0" borderId="0" xfId="93" applyNumberFormat="1" applyFont="1">
      <alignment vertical="center"/>
    </xf>
    <xf numFmtId="180" fontId="3" fillId="0" borderId="0" xfId="1" applyNumberFormat="1" applyFont="1"/>
    <xf numFmtId="181" fontId="3" fillId="0" borderId="0" xfId="93" applyNumberFormat="1" applyFont="1" applyAlignment="1"/>
    <xf numFmtId="0" fontId="4" fillId="0" borderId="4" xfId="1" applyFont="1" applyBorder="1" applyAlignment="1">
      <alignment horizontal="center"/>
    </xf>
    <xf numFmtId="0" fontId="36" fillId="0" borderId="6" xfId="1" applyFont="1" applyBorder="1" applyAlignment="1">
      <alignment vertical="center"/>
    </xf>
    <xf numFmtId="0" fontId="36" fillId="0" borderId="5" xfId="1" applyFont="1" applyBorder="1" applyAlignment="1">
      <alignment vertical="center"/>
    </xf>
    <xf numFmtId="0" fontId="36" fillId="0" borderId="7" xfId="1" applyFont="1" applyBorder="1" applyAlignment="1">
      <alignment horizontal="left" vertical="center"/>
    </xf>
    <xf numFmtId="0" fontId="36" fillId="0" borderId="0" xfId="1" applyFont="1" applyAlignment="1">
      <alignment horizontal="left" vertical="center"/>
    </xf>
    <xf numFmtId="178" fontId="3" fillId="0" borderId="33" xfId="1" applyNumberFormat="1" applyFont="1" applyBorder="1"/>
    <xf numFmtId="178" fontId="3" fillId="0" borderId="2" xfId="1" applyNumberFormat="1" applyFont="1" applyBorder="1" applyAlignment="1">
      <alignment horizontal="right"/>
    </xf>
    <xf numFmtId="177" fontId="3" fillId="20" borderId="0" xfId="93" applyNumberFormat="1" applyFont="1" applyFill="1" applyAlignment="1"/>
    <xf numFmtId="0" fontId="3" fillId="20" borderId="0" xfId="1" applyFont="1" applyFill="1"/>
    <xf numFmtId="178" fontId="3" fillId="0" borderId="33" xfId="1" applyNumberFormat="1" applyFont="1" applyBorder="1" applyAlignment="1">
      <alignment horizontal="right"/>
    </xf>
    <xf numFmtId="179" fontId="39" fillId="0" borderId="14" xfId="1" applyNumberFormat="1" applyFont="1" applyBorder="1"/>
    <xf numFmtId="179" fontId="40" fillId="0" borderId="14" xfId="1" applyNumberFormat="1" applyFont="1" applyBorder="1"/>
    <xf numFmtId="179" fontId="41" fillId="0" borderId="14" xfId="1" applyNumberFormat="1" applyFont="1" applyBorder="1"/>
    <xf numFmtId="179" fontId="40" fillId="0" borderId="14" xfId="1" applyNumberFormat="1" applyFont="1" applyBorder="1" applyAlignment="1">
      <alignment wrapText="1"/>
    </xf>
    <xf numFmtId="0" fontId="42" fillId="0" borderId="15" xfId="1" applyFont="1" applyBorder="1" applyAlignment="1">
      <alignment vertical="center"/>
    </xf>
    <xf numFmtId="0" fontId="42" fillId="0" borderId="8" xfId="1" applyFont="1" applyBorder="1" applyAlignment="1">
      <alignment horizontal="left" vertical="center"/>
    </xf>
    <xf numFmtId="177" fontId="3" fillId="0" borderId="0" xfId="93" applyNumberFormat="1" applyFont="1" applyFill="1" applyAlignment="1"/>
    <xf numFmtId="9" fontId="3" fillId="0" borderId="0" xfId="94" applyFont="1" applyFill="1" applyAlignment="1"/>
    <xf numFmtId="177" fontId="15" fillId="0" borderId="0" xfId="93" applyNumberFormat="1" applyFont="1" applyFill="1" applyAlignment="1"/>
    <xf numFmtId="9" fontId="15" fillId="0" borderId="0" xfId="94" applyFont="1" applyFill="1" applyAlignment="1"/>
    <xf numFmtId="177" fontId="3" fillId="0" borderId="0" xfId="93" applyNumberFormat="1" applyFont="1" applyFill="1">
      <alignment vertical="center"/>
    </xf>
    <xf numFmtId="177" fontId="11" fillId="0" borderId="0" xfId="93" applyNumberFormat="1" applyFont="1" applyFill="1">
      <alignment vertical="center"/>
    </xf>
    <xf numFmtId="178" fontId="15" fillId="0" borderId="0" xfId="1" applyNumberFormat="1" applyFont="1" applyAlignment="1">
      <alignment horizontal="right"/>
    </xf>
    <xf numFmtId="0" fontId="12" fillId="0" borderId="16" xfId="0" applyFont="1" applyBorder="1" applyAlignment="1"/>
    <xf numFmtId="0" fontId="13" fillId="0" borderId="16" xfId="0" applyFont="1" applyBorder="1" applyAlignment="1">
      <alignment shrinkToFit="1"/>
    </xf>
    <xf numFmtId="0" fontId="13" fillId="0" borderId="17" xfId="0" applyFont="1" applyBorder="1" applyAlignment="1">
      <alignment shrinkToFit="1"/>
    </xf>
    <xf numFmtId="0" fontId="12" fillId="0" borderId="19" xfId="0" applyFont="1" applyBorder="1" applyAlignment="1"/>
    <xf numFmtId="49" fontId="13" fillId="0" borderId="19" xfId="0" applyNumberFormat="1" applyFont="1" applyBorder="1" applyAlignment="1">
      <alignment horizontal="left"/>
    </xf>
    <xf numFmtId="49" fontId="13" fillId="0" borderId="21" xfId="0" applyNumberFormat="1" applyFont="1" applyBorder="1" applyAlignment="1">
      <alignment horizontal="left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49" fontId="5" fillId="0" borderId="7" xfId="1" applyNumberFormat="1" applyFont="1" applyBorder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49" fontId="5" fillId="0" borderId="8" xfId="1" applyNumberFormat="1" applyFont="1" applyBorder="1" applyAlignment="1">
      <alignment horizontal="center" vertical="center"/>
    </xf>
    <xf numFmtId="0" fontId="12" fillId="0" borderId="31" xfId="0" applyFont="1" applyBorder="1" applyAlignment="1"/>
    <xf numFmtId="0" fontId="13" fillId="0" borderId="31" xfId="0" applyFont="1" applyBorder="1" applyAlignment="1">
      <alignment shrinkToFit="1"/>
    </xf>
    <xf numFmtId="0" fontId="13" fillId="0" borderId="32" xfId="0" applyFont="1" applyBorder="1" applyAlignment="1">
      <alignment shrinkToFit="1"/>
    </xf>
    <xf numFmtId="0" fontId="35" fillId="0" borderId="16" xfId="0" applyFont="1" applyBorder="1" applyAlignment="1">
      <alignment wrapText="1" shrinkToFit="1"/>
    </xf>
    <xf numFmtId="0" fontId="35" fillId="0" borderId="17" xfId="0" applyFont="1" applyBorder="1" applyAlignment="1">
      <alignment wrapText="1" shrinkToFit="1"/>
    </xf>
  </cellXfs>
  <cellStyles count="200">
    <cellStyle name="_(木作工程)預算990924" xfId="18" xr:uid="{00000000-0005-0000-0000-000000000000}"/>
    <cellStyle name="_Final 鹿草第一次變更設計-2" xfId="19" xr:uid="{00000000-0005-0000-0000-000001000000}"/>
    <cellStyle name="_下橫街職務宿舍(一般工程)預算990930(未壓價格)" xfId="20" xr:uid="{00000000-0005-0000-0000-000002000000}"/>
    <cellStyle name="_下橫街職務宿舍(一般工程)預算991006" xfId="21" xr:uid="{00000000-0005-0000-0000-000003000000}"/>
    <cellStyle name="_大林商圈預算-9906017" xfId="22" xr:uid="{00000000-0005-0000-0000-000004000000}"/>
    <cellStyle name="_自行補修-預算20090820" xfId="23" xr:uid="{00000000-0005-0000-0000-000005000000}"/>
    <cellStyle name="_消防" xfId="95" xr:uid="{F0478814-FD0E-4B6A-8567-E720FD625CA5}"/>
    <cellStyle name="_嘉榮預算書(放腫體檢)991025" xfId="24" xr:uid="{00000000-0005-0000-0000-000006000000}"/>
    <cellStyle name="_嘉榮預算書(直線加速)預算991025" xfId="25" xr:uid="{00000000-0005-0000-0000-000007000000}"/>
    <cellStyle name="_嘉榮預算書(直線加速)預算991105(第三次確認)" xfId="26" xr:uid="{00000000-0005-0000-0000-000008000000}"/>
    <cellStyle name="0,0_x000d__x000a_NA_x000d__x000a_" xfId="11" xr:uid="{00000000-0005-0000-0000-000009000000}"/>
    <cellStyle name="0,0_x000d__x000a_NA_x000d__x000a_ 2" xfId="27" xr:uid="{00000000-0005-0000-0000-00000A000000}"/>
    <cellStyle name="20% - 輔色1 2" xfId="28" xr:uid="{00000000-0005-0000-0000-00000B000000}"/>
    <cellStyle name="20% - 輔色2 2" xfId="29" xr:uid="{00000000-0005-0000-0000-00000C000000}"/>
    <cellStyle name="20% - 輔色3 2" xfId="30" xr:uid="{00000000-0005-0000-0000-00000D000000}"/>
    <cellStyle name="20% - 輔色4 2" xfId="31" xr:uid="{00000000-0005-0000-0000-00000E000000}"/>
    <cellStyle name="20% - 輔色5 2" xfId="32" xr:uid="{00000000-0005-0000-0000-00000F000000}"/>
    <cellStyle name="20% - 輔色6 2" xfId="33" xr:uid="{00000000-0005-0000-0000-000010000000}"/>
    <cellStyle name="40% - 輔色1 2" xfId="34" xr:uid="{00000000-0005-0000-0000-000011000000}"/>
    <cellStyle name="40% - 輔色2 2" xfId="35" xr:uid="{00000000-0005-0000-0000-000012000000}"/>
    <cellStyle name="40% - 輔色3 2" xfId="36" xr:uid="{00000000-0005-0000-0000-000013000000}"/>
    <cellStyle name="40% - 輔色4 2" xfId="37" xr:uid="{00000000-0005-0000-0000-000014000000}"/>
    <cellStyle name="40% - 輔色5 2" xfId="38" xr:uid="{00000000-0005-0000-0000-000015000000}"/>
    <cellStyle name="40% - 輔色6 2" xfId="39" xr:uid="{00000000-0005-0000-0000-000016000000}"/>
    <cellStyle name="60% - 輔色1 2" xfId="40" xr:uid="{00000000-0005-0000-0000-000017000000}"/>
    <cellStyle name="60% - 輔色2 2" xfId="41" xr:uid="{00000000-0005-0000-0000-000018000000}"/>
    <cellStyle name="60% - 輔色3 2" xfId="42" xr:uid="{00000000-0005-0000-0000-000019000000}"/>
    <cellStyle name="60% - 輔色4 2" xfId="43" xr:uid="{00000000-0005-0000-0000-00001A000000}"/>
    <cellStyle name="60% - 輔色5 2" xfId="44" xr:uid="{00000000-0005-0000-0000-00001B000000}"/>
    <cellStyle name="60% - 輔色6 2" xfId="45" xr:uid="{00000000-0005-0000-0000-00001C000000}"/>
    <cellStyle name="s]_x000d__x000a_load=DLGDI.EXE_x000d__x000a_run=_x000d__x000a_NullPort=None_x000d__x000a_device=Brother HL-4,HPPCL,LPT1:_x000d__x000a__x000d__x000a_[Desktop]_x000d__x000a_Wallpaper=C:\WINDOWS\CLOUDS.BMP_x000d_" xfId="46" xr:uid="{00000000-0005-0000-0000-00001D000000}"/>
    <cellStyle name="一般" xfId="0" builtinId="0"/>
    <cellStyle name="一般 10" xfId="177" xr:uid="{295FE0BD-0226-469B-9933-301504E41EA8}"/>
    <cellStyle name="一般 11" xfId="179" xr:uid="{D5428FE9-8C49-48AE-8242-4201EB5D17E8}"/>
    <cellStyle name="一般 12" xfId="47" xr:uid="{00000000-0005-0000-0000-00001F000000}"/>
    <cellStyle name="一般 2" xfId="2" xr:uid="{00000000-0005-0000-0000-000020000000}"/>
    <cellStyle name="一般 2 2" xfId="49" xr:uid="{00000000-0005-0000-0000-000021000000}"/>
    <cellStyle name="一般 2 3" xfId="50" xr:uid="{00000000-0005-0000-0000-000022000000}"/>
    <cellStyle name="一般 2 4" xfId="48" xr:uid="{00000000-0005-0000-0000-000023000000}"/>
    <cellStyle name="一般 2 5" xfId="178" xr:uid="{B3E0065D-368A-40BC-92F4-E37D1823F50B}"/>
    <cellStyle name="一般 2_(木作工程)預算990924" xfId="51" xr:uid="{00000000-0005-0000-0000-000024000000}"/>
    <cellStyle name="一般 3" xfId="1" xr:uid="{00000000-0005-0000-0000-000025000000}"/>
    <cellStyle name="一般 4" xfId="9" xr:uid="{00000000-0005-0000-0000-000026000000}"/>
    <cellStyle name="一般 4 2" xfId="52" xr:uid="{00000000-0005-0000-0000-000027000000}"/>
    <cellStyle name="一般 5" xfId="10" xr:uid="{00000000-0005-0000-0000-000028000000}"/>
    <cellStyle name="一般 5 2" xfId="53" xr:uid="{00000000-0005-0000-0000-000029000000}"/>
    <cellStyle name="一般 6" xfId="12" xr:uid="{00000000-0005-0000-0000-00002A000000}"/>
    <cellStyle name="一般 7" xfId="16" xr:uid="{00000000-0005-0000-0000-00002B000000}"/>
    <cellStyle name="一般 7 2" xfId="54" xr:uid="{00000000-0005-0000-0000-00002C000000}"/>
    <cellStyle name="一般 8" xfId="174" xr:uid="{D38309EB-F3BE-4906-87DA-481FE0897CE4}"/>
    <cellStyle name="一般 9" xfId="176" xr:uid="{48506274-0ED1-41F8-88AD-B22CD92C0883}"/>
    <cellStyle name="千分位" xfId="93" builtinId="3"/>
    <cellStyle name="千分位 10" xfId="153" xr:uid="{E0B78ACA-26B0-4C9F-B994-528489E99F7C}"/>
    <cellStyle name="千分位 11" xfId="173" xr:uid="{CE00ACF0-2576-4A63-91F7-C030076F0602}"/>
    <cellStyle name="千分位 12" xfId="199" xr:uid="{34CA10D9-D0BF-4350-BDE5-DA64ABB5403F}"/>
    <cellStyle name="千分位 2" xfId="4" xr:uid="{00000000-0005-0000-0000-00002E000000}"/>
    <cellStyle name="千分位 2 2" xfId="56" xr:uid="{00000000-0005-0000-0000-00002F000000}"/>
    <cellStyle name="千分位 2 2 2" xfId="122" xr:uid="{93A411A7-1F3D-493A-88BD-6B6B41B546EE}"/>
    <cellStyle name="千分位 2 2 3" xfId="141" xr:uid="{DAE6617E-9C7E-43D3-B075-95AD7AE1DC43}"/>
    <cellStyle name="千分位 2 2 4" xfId="161" xr:uid="{A6E39E4C-6758-4911-BBF9-5DFDE8B130BC}"/>
    <cellStyle name="千分位 2 2 5" xfId="187" xr:uid="{82141CB3-F46D-45BB-AAA4-52E8F1EB8718}"/>
    <cellStyle name="千分位 2 2 6" xfId="105" xr:uid="{E5DCA128-EA49-4875-924B-27DE38E74351}"/>
    <cellStyle name="千分位 2 3" xfId="89" xr:uid="{00000000-0005-0000-0000-000030000000}"/>
    <cellStyle name="千分位 2 3 2" xfId="130" xr:uid="{99BCB5AA-F0AD-42B3-A758-EF6827DB510F}"/>
    <cellStyle name="千分位 2 3 3" xfId="149" xr:uid="{9149790F-3CF4-40D4-9050-9C36E3D1C566}"/>
    <cellStyle name="千分位 2 3 4" xfId="169" xr:uid="{0688EAF7-4E78-4E90-891F-63C7525F140E}"/>
    <cellStyle name="千分位 2 3 5" xfId="195" xr:uid="{8FCE0913-2E34-47F7-96F3-DFE62687804B}"/>
    <cellStyle name="千分位 2 3 6" xfId="113" xr:uid="{25F1AE70-0A49-4119-82B2-1D9AC1EEC422}"/>
    <cellStyle name="千分位 2 4" xfId="92" xr:uid="{00000000-0005-0000-0000-000031000000}"/>
    <cellStyle name="千分位 2 4 2" xfId="133" xr:uid="{6BB522E5-8F41-4B1B-9A7A-83A6B09A7465}"/>
    <cellStyle name="千分位 2 4 3" xfId="152" xr:uid="{7CA223FD-B4DF-44F6-B87F-0350220F5F7D}"/>
    <cellStyle name="千分位 2 4 4" xfId="172" xr:uid="{1FCFDBF1-69C3-4F5D-A6C6-630C053C6731}"/>
    <cellStyle name="千分位 2 4 5" xfId="198" xr:uid="{DA3037F7-EDF9-4603-BD83-4C9C45562857}"/>
    <cellStyle name="千分位 2 4 6" xfId="116" xr:uid="{54D0740F-CD41-48D2-AD57-31CF1EFD13B2}"/>
    <cellStyle name="千分位 2 5" xfId="99" xr:uid="{8FDAA7B1-2D20-463A-8992-BC39B6A0B655}"/>
    <cellStyle name="千分位 2 6" xfId="135" xr:uid="{43FEC321-BB9C-4D05-94BB-5959FF0E2E2E}"/>
    <cellStyle name="千分位 2 7" xfId="155" xr:uid="{4618A2D6-5279-4B87-A4C6-813691A65C6E}"/>
    <cellStyle name="千分位 2 8" xfId="181" xr:uid="{5470A286-A0FF-4602-818A-C750B2176EDE}"/>
    <cellStyle name="千分位 2 9" xfId="97" xr:uid="{D88DAF38-E395-425C-9EEA-D5D1D01F2D8A}"/>
    <cellStyle name="千分位 3" xfId="3" xr:uid="{00000000-0005-0000-0000-000032000000}"/>
    <cellStyle name="千分位 3 2" xfId="57" xr:uid="{00000000-0005-0000-0000-000033000000}"/>
    <cellStyle name="千分位 3 2 2" xfId="123" xr:uid="{E6CEDEB4-6CE9-4055-B3B4-10D135D0923E}"/>
    <cellStyle name="千分位 3 2 3" xfId="142" xr:uid="{0802319A-AD81-47B5-9EFF-CFFF5B23F76A}"/>
    <cellStyle name="千分位 3 2 4" xfId="162" xr:uid="{84E812AA-939F-4148-A10E-C3454368D094}"/>
    <cellStyle name="千分位 3 2 5" xfId="188" xr:uid="{DBC4D96B-FE03-4093-8F8D-158067B18334}"/>
    <cellStyle name="千分位 3 2 6" xfId="106" xr:uid="{6414F505-C02F-4D45-B1B6-5115082AF43B}"/>
    <cellStyle name="千分位 3 3" xfId="90" xr:uid="{00000000-0005-0000-0000-000034000000}"/>
    <cellStyle name="千分位 3 3 2" xfId="131" xr:uid="{BCBFEF78-3B1E-44D4-B7CC-5EEF3AB39747}"/>
    <cellStyle name="千分位 3 3 3" xfId="150" xr:uid="{C368D63C-6381-42D3-B1B6-AE68BC804941}"/>
    <cellStyle name="千分位 3 3 4" xfId="170" xr:uid="{7552F69D-0104-4F64-ACA2-BF154F15884C}"/>
    <cellStyle name="千分位 3 3 5" xfId="196" xr:uid="{E1A54062-168B-4485-8B02-33F815352EA8}"/>
    <cellStyle name="千分位 3 3 6" xfId="114" xr:uid="{71EF2A21-6974-4C14-B13D-4E5E48455C56}"/>
    <cellStyle name="千分位 3 4" xfId="91" xr:uid="{00000000-0005-0000-0000-000035000000}"/>
    <cellStyle name="千分位 3 4 2" xfId="132" xr:uid="{7B634789-F4B6-46B6-B2B7-36DB928407BA}"/>
    <cellStyle name="千分位 3 4 3" xfId="151" xr:uid="{C3EED110-B4B3-4700-9E03-3DA8E8BD1DE1}"/>
    <cellStyle name="千分位 3 4 4" xfId="171" xr:uid="{FCAC1D2D-5ED2-4599-8FB9-1BA294AD89EF}"/>
    <cellStyle name="千分位 3 4 5" xfId="197" xr:uid="{EA82092E-A0DE-4AF9-BA97-0B1363D70084}"/>
    <cellStyle name="千分位 3 4 6" xfId="115" xr:uid="{B2503B00-D4F6-4ADD-9FAF-E5494289FB0A}"/>
    <cellStyle name="千分位 3 5" xfId="98" xr:uid="{CC42B98E-A39B-459E-A63C-1440F4D27569}"/>
    <cellStyle name="千分位 3 6" xfId="134" xr:uid="{AD6297A7-4794-4459-B43C-C1CBBC6F6D05}"/>
    <cellStyle name="千分位 3 7" xfId="154" xr:uid="{EB063352-4889-433B-8DE7-05081DD432DF}"/>
    <cellStyle name="千分位 3 8" xfId="180" xr:uid="{F6F5B421-FE78-49C0-8B25-517BCD1C516E}"/>
    <cellStyle name="千分位 3 9" xfId="96" xr:uid="{55E86DF2-72A5-422C-9A98-AB2C39C66D69}"/>
    <cellStyle name="千分位 4" xfId="17" xr:uid="{00000000-0005-0000-0000-000036000000}"/>
    <cellStyle name="千分位 4 2" xfId="58" xr:uid="{00000000-0005-0000-0000-000037000000}"/>
    <cellStyle name="千分位 4 2 2" xfId="124" xr:uid="{5A8BFA71-7300-4D69-879C-F5D9E58E5B29}"/>
    <cellStyle name="千分位 4 2 3" xfId="143" xr:uid="{CD96FF74-11EA-44BE-B94D-9259E6F8780C}"/>
    <cellStyle name="千分位 4 2 4" xfId="163" xr:uid="{F991BC5E-EA37-4182-9873-0C51F4854DD4}"/>
    <cellStyle name="千分位 4 2 5" xfId="189" xr:uid="{0FE3615C-B6A2-4528-BC64-0967DCBABEF7}"/>
    <cellStyle name="千分位 4 2 6" xfId="107" xr:uid="{71472E8F-8942-40F9-972E-6F5804704C14}"/>
    <cellStyle name="千分位 4 3" xfId="120" xr:uid="{FC0145DC-8620-4D17-B3A9-6F655A4EBDBC}"/>
    <cellStyle name="千分位 4 4" xfId="139" xr:uid="{88216823-9782-445E-ABFE-FC827947D31A}"/>
    <cellStyle name="千分位 4 5" xfId="159" xr:uid="{2A98A64B-472B-4A68-8800-E3B4F7A5DB54}"/>
    <cellStyle name="千分位 4 6" xfId="185" xr:uid="{7F2E58A9-3738-4F13-AF16-CE89C065A490}"/>
    <cellStyle name="千分位 4 7" xfId="103" xr:uid="{AE72E64F-E29F-4A78-A8EC-76CB3A866A3C}"/>
    <cellStyle name="千分位 5" xfId="55" xr:uid="{00000000-0005-0000-0000-000038000000}"/>
    <cellStyle name="千分位 5 2" xfId="121" xr:uid="{903B6991-B9BF-4517-B461-A54251D44774}"/>
    <cellStyle name="千分位 5 3" xfId="140" xr:uid="{18E4D1B4-FA2E-411E-8E5E-BC94DF3AA5C6}"/>
    <cellStyle name="千分位 5 4" xfId="160" xr:uid="{B6F2EC3C-0FFE-4A0E-9C54-4495EBF63B26}"/>
    <cellStyle name="千分位 5 5" xfId="186" xr:uid="{A3FA9FF2-F557-4CA0-85FC-6BE55C7961BE}"/>
    <cellStyle name="千分位 5 6" xfId="104" xr:uid="{2229A4D3-2F57-4051-ABEB-35523BF9E28B}"/>
    <cellStyle name="千分位 6" xfId="13" xr:uid="{00000000-0005-0000-0000-000039000000}"/>
    <cellStyle name="千分位 6 2" xfId="59" xr:uid="{00000000-0005-0000-0000-00003A000000}"/>
    <cellStyle name="千分位 6 2 2" xfId="125" xr:uid="{5078EDDC-AA99-4721-AFC8-0C09DFD6080A}"/>
    <cellStyle name="千分位 6 2 3" xfId="144" xr:uid="{760CF702-A4AB-4022-8D45-957313EA16FD}"/>
    <cellStyle name="千分位 6 2 4" xfId="164" xr:uid="{8176A42F-FDBB-4620-B108-A999D1660006}"/>
    <cellStyle name="千分位 6 2 5" xfId="190" xr:uid="{441B5CF6-2903-4817-B180-26804A8F575F}"/>
    <cellStyle name="千分位 6 2 6" xfId="108" xr:uid="{3949A6EC-F42D-44F1-80A3-5020F9E4CB7A}"/>
    <cellStyle name="千分位 6 3" xfId="117" xr:uid="{9AB9EFD6-40A3-4790-B843-9D7A96409CB3}"/>
    <cellStyle name="千分位 6 4" xfId="136" xr:uid="{8457EBF3-9E3C-4FD6-A943-227CB7029CB1}"/>
    <cellStyle name="千分位 6 5" xfId="156" xr:uid="{95AC9A28-9015-4B21-BBD4-A12BECE2F866}"/>
    <cellStyle name="千分位 6 6" xfId="182" xr:uid="{FC076F91-EAF1-4888-B2B3-3777011C536D}"/>
    <cellStyle name="千分位 6 7" xfId="100" xr:uid="{E207C9E2-F3B6-4F0A-895B-EC11E8B76E03}"/>
    <cellStyle name="千分位 7" xfId="15" xr:uid="{00000000-0005-0000-0000-00003B000000}"/>
    <cellStyle name="千分位 7 2" xfId="119" xr:uid="{51DFA5F7-F34A-4D2B-847A-3B14A56B0F28}"/>
    <cellStyle name="千分位 7 3" xfId="138" xr:uid="{B5585154-C25C-4D3E-A881-F374591ABC72}"/>
    <cellStyle name="千分位 7 4" xfId="158" xr:uid="{64E73CFA-FFAE-4A21-84EA-A63D9A46DDB2}"/>
    <cellStyle name="千分位 7 5" xfId="184" xr:uid="{09C54305-FF8F-454D-AA15-6AC2FCFB7004}"/>
    <cellStyle name="千分位 7 6" xfId="102" xr:uid="{3D4440CC-451D-44E1-8DE1-8DE9B757EA5E}"/>
    <cellStyle name="千分位 8" xfId="88" xr:uid="{00000000-0005-0000-0000-00003C000000}"/>
    <cellStyle name="千分位 8 2" xfId="129" xr:uid="{6ED75752-1CFD-49EA-86C8-0658C539443C}"/>
    <cellStyle name="千分位 8 3" xfId="148" xr:uid="{0287C016-502E-4F63-9126-33D253FA22A8}"/>
    <cellStyle name="千分位 8 4" xfId="168" xr:uid="{FA6689FB-3529-4E10-A09D-2418BE516BE7}"/>
    <cellStyle name="千分位 8 5" xfId="194" xr:uid="{EA530F21-9A50-4EEF-8442-FD7BEDEA183A}"/>
    <cellStyle name="千分位 8 6" xfId="112" xr:uid="{F0FCF89C-1E22-4A79-BE8C-511F44C6B0CC}"/>
    <cellStyle name="千分位 9" xfId="14" xr:uid="{00000000-0005-0000-0000-00003D000000}"/>
    <cellStyle name="千分位 9 2" xfId="60" xr:uid="{00000000-0005-0000-0000-00003E000000}"/>
    <cellStyle name="千分位 9 2 2" xfId="126" xr:uid="{33FF06C2-5B7B-419D-BF4A-E5A8C7D56F9A}"/>
    <cellStyle name="千分位 9 2 3" xfId="145" xr:uid="{C8A49615-3A5F-4B57-AB57-62EFC48A4F1E}"/>
    <cellStyle name="千分位 9 2 4" xfId="165" xr:uid="{A85420B1-636B-4471-90B9-A7DB53A5F6A2}"/>
    <cellStyle name="千分位 9 2 5" xfId="191" xr:uid="{E6B9F3A6-A53A-4C36-86DB-6F4AF83BDE39}"/>
    <cellStyle name="千分位 9 2 6" xfId="109" xr:uid="{484FF56C-540F-4AC3-B0C9-6E5B632971DE}"/>
    <cellStyle name="千分位 9 3" xfId="118" xr:uid="{A5750DED-7A21-4DE7-9F21-2720A91383A1}"/>
    <cellStyle name="千分位 9 4" xfId="137" xr:uid="{7C9EE61B-4857-4369-96F4-00F14B037395}"/>
    <cellStyle name="千分位 9 5" xfId="157" xr:uid="{911C86BE-AFF3-4FC5-8C10-F543D67F8BE3}"/>
    <cellStyle name="千分位 9 6" xfId="183" xr:uid="{B9AB9D45-F57F-41F9-9921-07B428AFA4F9}"/>
    <cellStyle name="千分位 9 7" xfId="101" xr:uid="{AE4EA1A4-8B57-4E3D-B2B3-20DF0E6FD002}"/>
    <cellStyle name="千分位[0] 2" xfId="61" xr:uid="{00000000-0005-0000-0000-00003F000000}"/>
    <cellStyle name="千分位[0] 2 2" xfId="127" xr:uid="{710BD0C9-DBA8-467C-BCED-2B1F9E8F7A2B}"/>
    <cellStyle name="千分位[0] 2 3" xfId="146" xr:uid="{698592A8-F7FD-45C5-8235-8AFB5CCA06FC}"/>
    <cellStyle name="千分位[0] 2 4" xfId="166" xr:uid="{3930604B-061B-43A6-BC1A-8D2E192BC442}"/>
    <cellStyle name="千分位[0] 2 5" xfId="192" xr:uid="{77749B40-B809-4274-82C9-BFB2B9C57296}"/>
    <cellStyle name="千分位[0] 2 6" xfId="110" xr:uid="{27F0B2CA-4DBE-4856-B3B4-2A1F3539B796}"/>
    <cellStyle name="千分位[0] 84" xfId="62" xr:uid="{00000000-0005-0000-0000-000040000000}"/>
    <cellStyle name="千分位[0] 84 2" xfId="128" xr:uid="{35A5C0D5-0E4B-40B6-B6DC-FE6E60739223}"/>
    <cellStyle name="千分位[0] 84 3" xfId="147" xr:uid="{739F7FFF-461B-40C2-BD48-AB5A8E23D75E}"/>
    <cellStyle name="千分位[0] 84 4" xfId="167" xr:uid="{DA73B64C-1897-4822-AD44-A4DA12B1434D}"/>
    <cellStyle name="千分位[0] 84 5" xfId="193" xr:uid="{BA6A3868-C01C-4CBC-A85C-09864E760622}"/>
    <cellStyle name="千分位[0] 84 6" xfId="111" xr:uid="{3BFF6AB1-CDB7-4DF0-916D-63967F4B818A}"/>
    <cellStyle name="中等 2" xfId="63" xr:uid="{00000000-0005-0000-0000-000041000000}"/>
    <cellStyle name="合計 2" xfId="64" xr:uid="{00000000-0005-0000-0000-000042000000}"/>
    <cellStyle name="好 2" xfId="65" xr:uid="{00000000-0005-0000-0000-000043000000}"/>
    <cellStyle name="好_單價分析" xfId="66" xr:uid="{00000000-0005-0000-0000-000044000000}"/>
    <cellStyle name="百分比" xfId="94" builtinId="5"/>
    <cellStyle name="百分比 2" xfId="6" xr:uid="{00000000-0005-0000-0000-000046000000}"/>
    <cellStyle name="百分比 3" xfId="5" xr:uid="{00000000-0005-0000-0000-000047000000}"/>
    <cellStyle name="百分比 4" xfId="175" xr:uid="{03769CC6-2B22-4754-8515-7BFDA0B3DD9E}"/>
    <cellStyle name="計算方式 2" xfId="67" xr:uid="{00000000-0005-0000-0000-000048000000}"/>
    <cellStyle name="連結的儲存格 2" xfId="68" xr:uid="{00000000-0005-0000-0000-000049000000}"/>
    <cellStyle name="備註 2" xfId="7" xr:uid="{00000000-0005-0000-0000-00004A000000}"/>
    <cellStyle name="備註 3" xfId="69" xr:uid="{00000000-0005-0000-0000-00004B000000}"/>
    <cellStyle name="說明文字 2" xfId="70" xr:uid="{00000000-0005-0000-0000-00004C000000}"/>
    <cellStyle name="輔色1 2" xfId="71" xr:uid="{00000000-0005-0000-0000-00004D000000}"/>
    <cellStyle name="輔色2 2" xfId="72" xr:uid="{00000000-0005-0000-0000-00004E000000}"/>
    <cellStyle name="輔色3 2" xfId="73" xr:uid="{00000000-0005-0000-0000-00004F000000}"/>
    <cellStyle name="輔色4 2" xfId="74" xr:uid="{00000000-0005-0000-0000-000050000000}"/>
    <cellStyle name="輔色5 2" xfId="75" xr:uid="{00000000-0005-0000-0000-000051000000}"/>
    <cellStyle name="輔色6 2" xfId="76" xr:uid="{00000000-0005-0000-0000-000052000000}"/>
    <cellStyle name="標題 1 2" xfId="78" xr:uid="{00000000-0005-0000-0000-000053000000}"/>
    <cellStyle name="標題 2 2" xfId="79" xr:uid="{00000000-0005-0000-0000-000054000000}"/>
    <cellStyle name="標題 3 2" xfId="80" xr:uid="{00000000-0005-0000-0000-000055000000}"/>
    <cellStyle name="標題 4 2" xfId="81" xr:uid="{00000000-0005-0000-0000-000056000000}"/>
    <cellStyle name="標題 5" xfId="77" xr:uid="{00000000-0005-0000-0000-000057000000}"/>
    <cellStyle name="樣式 1" xfId="8" xr:uid="{00000000-0005-0000-0000-000058000000}"/>
    <cellStyle name="輸入 2" xfId="82" xr:uid="{00000000-0005-0000-0000-000059000000}"/>
    <cellStyle name="輸出 2" xfId="83" xr:uid="{00000000-0005-0000-0000-00005A000000}"/>
    <cellStyle name="檢查儲存格 2" xfId="84" xr:uid="{00000000-0005-0000-0000-00005B000000}"/>
    <cellStyle name="壞 2" xfId="85" xr:uid="{00000000-0005-0000-0000-00005C000000}"/>
    <cellStyle name="壞_單價分析" xfId="86" xr:uid="{00000000-0005-0000-0000-00005D000000}"/>
    <cellStyle name="警告文字 2" xfId="87" xr:uid="{00000000-0005-0000-0000-00005E000000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15240</xdr:rowOff>
    </xdr:from>
    <xdr:to>
      <xdr:col>6</xdr:col>
      <xdr:colOff>1350930</xdr:colOff>
      <xdr:row>1</xdr:row>
      <xdr:rowOff>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25FB434-5401-4E2A-B67C-364689765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5240"/>
          <a:ext cx="75438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O102"/>
  <sheetViews>
    <sheetView tabSelected="1" view="pageBreakPreview" topLeftCell="A65" zoomScaleNormal="100" zoomScaleSheetLayoutView="100" workbookViewId="0">
      <selection activeCell="E72" sqref="E72"/>
    </sheetView>
  </sheetViews>
  <sheetFormatPr defaultRowHeight="15.75"/>
  <cols>
    <col min="1" max="1" width="11.5" style="18" customWidth="1"/>
    <col min="2" max="2" width="35.25" style="9" customWidth="1"/>
    <col min="3" max="3" width="6.5" style="9" customWidth="1"/>
    <col min="4" max="4" width="9.75" style="19" customWidth="1"/>
    <col min="5" max="5" width="13.25" style="13" customWidth="1"/>
    <col min="6" max="6" width="15.125" style="13" customWidth="1"/>
    <col min="7" max="7" width="20.75" style="9" customWidth="1"/>
    <col min="8" max="8" width="19.5" style="9" bestFit="1" customWidth="1"/>
    <col min="9" max="9" width="15.5" style="9" customWidth="1"/>
    <col min="10" max="10" width="15.875" style="9" bestFit="1" customWidth="1"/>
    <col min="11" max="11" width="17.875" style="9" bestFit="1" customWidth="1"/>
    <col min="12" max="12" width="14.5" style="9" customWidth="1"/>
    <col min="13" max="13" width="11" style="9" bestFit="1" customWidth="1"/>
    <col min="14" max="14" width="14.5" style="9" bestFit="1" customWidth="1"/>
    <col min="15" max="15" width="11" style="9" bestFit="1" customWidth="1"/>
    <col min="16" max="225" width="8.875" style="9"/>
    <col min="226" max="226" width="5.5" style="9" customWidth="1"/>
    <col min="227" max="227" width="32.75" style="9" customWidth="1"/>
    <col min="228" max="229" width="6.5" style="9" customWidth="1"/>
    <col min="230" max="231" width="12.5" style="9" customWidth="1"/>
    <col min="232" max="232" width="22.5" style="9" customWidth="1"/>
    <col min="233" max="233" width="10.5" style="9" bestFit="1" customWidth="1"/>
    <col min="234" max="481" width="8.875" style="9"/>
    <col min="482" max="482" width="5.5" style="9" customWidth="1"/>
    <col min="483" max="483" width="32.75" style="9" customWidth="1"/>
    <col min="484" max="485" width="6.5" style="9" customWidth="1"/>
    <col min="486" max="487" width="12.5" style="9" customWidth="1"/>
    <col min="488" max="488" width="22.5" style="9" customWidth="1"/>
    <col min="489" max="489" width="10.5" style="9" bestFit="1" customWidth="1"/>
    <col min="490" max="737" width="8.875" style="9"/>
    <col min="738" max="738" width="5.5" style="9" customWidth="1"/>
    <col min="739" max="739" width="32.75" style="9" customWidth="1"/>
    <col min="740" max="741" width="6.5" style="9" customWidth="1"/>
    <col min="742" max="743" width="12.5" style="9" customWidth="1"/>
    <col min="744" max="744" width="22.5" style="9" customWidth="1"/>
    <col min="745" max="745" width="10.5" style="9" bestFit="1" customWidth="1"/>
    <col min="746" max="993" width="8.875" style="9"/>
    <col min="994" max="994" width="5.5" style="9" customWidth="1"/>
    <col min="995" max="995" width="32.75" style="9" customWidth="1"/>
    <col min="996" max="997" width="6.5" style="9" customWidth="1"/>
    <col min="998" max="999" width="12.5" style="9" customWidth="1"/>
    <col min="1000" max="1000" width="22.5" style="9" customWidth="1"/>
    <col min="1001" max="1001" width="10.5" style="9" bestFit="1" customWidth="1"/>
    <col min="1002" max="1249" width="8.875" style="9"/>
    <col min="1250" max="1250" width="5.5" style="9" customWidth="1"/>
    <col min="1251" max="1251" width="32.75" style="9" customWidth="1"/>
    <col min="1252" max="1253" width="6.5" style="9" customWidth="1"/>
    <col min="1254" max="1255" width="12.5" style="9" customWidth="1"/>
    <col min="1256" max="1256" width="22.5" style="9" customWidth="1"/>
    <col min="1257" max="1257" width="10.5" style="9" bestFit="1" customWidth="1"/>
    <col min="1258" max="1505" width="8.875" style="9"/>
    <col min="1506" max="1506" width="5.5" style="9" customWidth="1"/>
    <col min="1507" max="1507" width="32.75" style="9" customWidth="1"/>
    <col min="1508" max="1509" width="6.5" style="9" customWidth="1"/>
    <col min="1510" max="1511" width="12.5" style="9" customWidth="1"/>
    <col min="1512" max="1512" width="22.5" style="9" customWidth="1"/>
    <col min="1513" max="1513" width="10.5" style="9" bestFit="1" customWidth="1"/>
    <col min="1514" max="1761" width="8.875" style="9"/>
    <col min="1762" max="1762" width="5.5" style="9" customWidth="1"/>
    <col min="1763" max="1763" width="32.75" style="9" customWidth="1"/>
    <col min="1764" max="1765" width="6.5" style="9" customWidth="1"/>
    <col min="1766" max="1767" width="12.5" style="9" customWidth="1"/>
    <col min="1768" max="1768" width="22.5" style="9" customWidth="1"/>
    <col min="1769" max="1769" width="10.5" style="9" bestFit="1" customWidth="1"/>
    <col min="1770" max="2017" width="8.875" style="9"/>
    <col min="2018" max="2018" width="5.5" style="9" customWidth="1"/>
    <col min="2019" max="2019" width="32.75" style="9" customWidth="1"/>
    <col min="2020" max="2021" width="6.5" style="9" customWidth="1"/>
    <col min="2022" max="2023" width="12.5" style="9" customWidth="1"/>
    <col min="2024" max="2024" width="22.5" style="9" customWidth="1"/>
    <col min="2025" max="2025" width="10.5" style="9" bestFit="1" customWidth="1"/>
    <col min="2026" max="2273" width="8.875" style="9"/>
    <col min="2274" max="2274" width="5.5" style="9" customWidth="1"/>
    <col min="2275" max="2275" width="32.75" style="9" customWidth="1"/>
    <col min="2276" max="2277" width="6.5" style="9" customWidth="1"/>
    <col min="2278" max="2279" width="12.5" style="9" customWidth="1"/>
    <col min="2280" max="2280" width="22.5" style="9" customWidth="1"/>
    <col min="2281" max="2281" width="10.5" style="9" bestFit="1" customWidth="1"/>
    <col min="2282" max="2529" width="8.875" style="9"/>
    <col min="2530" max="2530" width="5.5" style="9" customWidth="1"/>
    <col min="2531" max="2531" width="32.75" style="9" customWidth="1"/>
    <col min="2532" max="2533" width="6.5" style="9" customWidth="1"/>
    <col min="2534" max="2535" width="12.5" style="9" customWidth="1"/>
    <col min="2536" max="2536" width="22.5" style="9" customWidth="1"/>
    <col min="2537" max="2537" width="10.5" style="9" bestFit="1" customWidth="1"/>
    <col min="2538" max="2785" width="8.875" style="9"/>
    <col min="2786" max="2786" width="5.5" style="9" customWidth="1"/>
    <col min="2787" max="2787" width="32.75" style="9" customWidth="1"/>
    <col min="2788" max="2789" width="6.5" style="9" customWidth="1"/>
    <col min="2790" max="2791" width="12.5" style="9" customWidth="1"/>
    <col min="2792" max="2792" width="22.5" style="9" customWidth="1"/>
    <col min="2793" max="2793" width="10.5" style="9" bestFit="1" customWidth="1"/>
    <col min="2794" max="3041" width="8.875" style="9"/>
    <col min="3042" max="3042" width="5.5" style="9" customWidth="1"/>
    <col min="3043" max="3043" width="32.75" style="9" customWidth="1"/>
    <col min="3044" max="3045" width="6.5" style="9" customWidth="1"/>
    <col min="3046" max="3047" width="12.5" style="9" customWidth="1"/>
    <col min="3048" max="3048" width="22.5" style="9" customWidth="1"/>
    <col min="3049" max="3049" width="10.5" style="9" bestFit="1" customWidth="1"/>
    <col min="3050" max="3297" width="8.875" style="9"/>
    <col min="3298" max="3298" width="5.5" style="9" customWidth="1"/>
    <col min="3299" max="3299" width="32.75" style="9" customWidth="1"/>
    <col min="3300" max="3301" width="6.5" style="9" customWidth="1"/>
    <col min="3302" max="3303" width="12.5" style="9" customWidth="1"/>
    <col min="3304" max="3304" width="22.5" style="9" customWidth="1"/>
    <col min="3305" max="3305" width="10.5" style="9" bestFit="1" customWidth="1"/>
    <col min="3306" max="3553" width="8.875" style="9"/>
    <col min="3554" max="3554" width="5.5" style="9" customWidth="1"/>
    <col min="3555" max="3555" width="32.75" style="9" customWidth="1"/>
    <col min="3556" max="3557" width="6.5" style="9" customWidth="1"/>
    <col min="3558" max="3559" width="12.5" style="9" customWidth="1"/>
    <col min="3560" max="3560" width="22.5" style="9" customWidth="1"/>
    <col min="3561" max="3561" width="10.5" style="9" bestFit="1" customWidth="1"/>
    <col min="3562" max="3809" width="8.875" style="9"/>
    <col min="3810" max="3810" width="5.5" style="9" customWidth="1"/>
    <col min="3811" max="3811" width="32.75" style="9" customWidth="1"/>
    <col min="3812" max="3813" width="6.5" style="9" customWidth="1"/>
    <col min="3814" max="3815" width="12.5" style="9" customWidth="1"/>
    <col min="3816" max="3816" width="22.5" style="9" customWidth="1"/>
    <col min="3817" max="3817" width="10.5" style="9" bestFit="1" customWidth="1"/>
    <col min="3818" max="4065" width="8.875" style="9"/>
    <col min="4066" max="4066" width="5.5" style="9" customWidth="1"/>
    <col min="4067" max="4067" width="32.75" style="9" customWidth="1"/>
    <col min="4068" max="4069" width="6.5" style="9" customWidth="1"/>
    <col min="4070" max="4071" width="12.5" style="9" customWidth="1"/>
    <col min="4072" max="4072" width="22.5" style="9" customWidth="1"/>
    <col min="4073" max="4073" width="10.5" style="9" bestFit="1" customWidth="1"/>
    <col min="4074" max="4321" width="8.875" style="9"/>
    <col min="4322" max="4322" width="5.5" style="9" customWidth="1"/>
    <col min="4323" max="4323" width="32.75" style="9" customWidth="1"/>
    <col min="4324" max="4325" width="6.5" style="9" customWidth="1"/>
    <col min="4326" max="4327" width="12.5" style="9" customWidth="1"/>
    <col min="4328" max="4328" width="22.5" style="9" customWidth="1"/>
    <col min="4329" max="4329" width="10.5" style="9" bestFit="1" customWidth="1"/>
    <col min="4330" max="4577" width="8.875" style="9"/>
    <col min="4578" max="4578" width="5.5" style="9" customWidth="1"/>
    <col min="4579" max="4579" width="32.75" style="9" customWidth="1"/>
    <col min="4580" max="4581" width="6.5" style="9" customWidth="1"/>
    <col min="4582" max="4583" width="12.5" style="9" customWidth="1"/>
    <col min="4584" max="4584" width="22.5" style="9" customWidth="1"/>
    <col min="4585" max="4585" width="10.5" style="9" bestFit="1" customWidth="1"/>
    <col min="4586" max="4833" width="8.875" style="9"/>
    <col min="4834" max="4834" width="5.5" style="9" customWidth="1"/>
    <col min="4835" max="4835" width="32.75" style="9" customWidth="1"/>
    <col min="4836" max="4837" width="6.5" style="9" customWidth="1"/>
    <col min="4838" max="4839" width="12.5" style="9" customWidth="1"/>
    <col min="4840" max="4840" width="22.5" style="9" customWidth="1"/>
    <col min="4841" max="4841" width="10.5" style="9" bestFit="1" customWidth="1"/>
    <col min="4842" max="5089" width="8.875" style="9"/>
    <col min="5090" max="5090" width="5.5" style="9" customWidth="1"/>
    <col min="5091" max="5091" width="32.75" style="9" customWidth="1"/>
    <col min="5092" max="5093" width="6.5" style="9" customWidth="1"/>
    <col min="5094" max="5095" width="12.5" style="9" customWidth="1"/>
    <col min="5096" max="5096" width="22.5" style="9" customWidth="1"/>
    <col min="5097" max="5097" width="10.5" style="9" bestFit="1" customWidth="1"/>
    <col min="5098" max="5345" width="8.875" style="9"/>
    <col min="5346" max="5346" width="5.5" style="9" customWidth="1"/>
    <col min="5347" max="5347" width="32.75" style="9" customWidth="1"/>
    <col min="5348" max="5349" width="6.5" style="9" customWidth="1"/>
    <col min="5350" max="5351" width="12.5" style="9" customWidth="1"/>
    <col min="5352" max="5352" width="22.5" style="9" customWidth="1"/>
    <col min="5353" max="5353" width="10.5" style="9" bestFit="1" customWidth="1"/>
    <col min="5354" max="5601" width="8.875" style="9"/>
    <col min="5602" max="5602" width="5.5" style="9" customWidth="1"/>
    <col min="5603" max="5603" width="32.75" style="9" customWidth="1"/>
    <col min="5604" max="5605" width="6.5" style="9" customWidth="1"/>
    <col min="5606" max="5607" width="12.5" style="9" customWidth="1"/>
    <col min="5608" max="5608" width="22.5" style="9" customWidth="1"/>
    <col min="5609" max="5609" width="10.5" style="9" bestFit="1" customWidth="1"/>
    <col min="5610" max="5857" width="8.875" style="9"/>
    <col min="5858" max="5858" width="5.5" style="9" customWidth="1"/>
    <col min="5859" max="5859" width="32.75" style="9" customWidth="1"/>
    <col min="5860" max="5861" width="6.5" style="9" customWidth="1"/>
    <col min="5862" max="5863" width="12.5" style="9" customWidth="1"/>
    <col min="5864" max="5864" width="22.5" style="9" customWidth="1"/>
    <col min="5865" max="5865" width="10.5" style="9" bestFit="1" customWidth="1"/>
    <col min="5866" max="6113" width="8.875" style="9"/>
    <col min="6114" max="6114" width="5.5" style="9" customWidth="1"/>
    <col min="6115" max="6115" width="32.75" style="9" customWidth="1"/>
    <col min="6116" max="6117" width="6.5" style="9" customWidth="1"/>
    <col min="6118" max="6119" width="12.5" style="9" customWidth="1"/>
    <col min="6120" max="6120" width="22.5" style="9" customWidth="1"/>
    <col min="6121" max="6121" width="10.5" style="9" bestFit="1" customWidth="1"/>
    <col min="6122" max="6369" width="8.875" style="9"/>
    <col min="6370" max="6370" width="5.5" style="9" customWidth="1"/>
    <col min="6371" max="6371" width="32.75" style="9" customWidth="1"/>
    <col min="6372" max="6373" width="6.5" style="9" customWidth="1"/>
    <col min="6374" max="6375" width="12.5" style="9" customWidth="1"/>
    <col min="6376" max="6376" width="22.5" style="9" customWidth="1"/>
    <col min="6377" max="6377" width="10.5" style="9" bestFit="1" customWidth="1"/>
    <col min="6378" max="6625" width="8.875" style="9"/>
    <col min="6626" max="6626" width="5.5" style="9" customWidth="1"/>
    <col min="6627" max="6627" width="32.75" style="9" customWidth="1"/>
    <col min="6628" max="6629" width="6.5" style="9" customWidth="1"/>
    <col min="6630" max="6631" width="12.5" style="9" customWidth="1"/>
    <col min="6632" max="6632" width="22.5" style="9" customWidth="1"/>
    <col min="6633" max="6633" width="10.5" style="9" bestFit="1" customWidth="1"/>
    <col min="6634" max="6881" width="8.875" style="9"/>
    <col min="6882" max="6882" width="5.5" style="9" customWidth="1"/>
    <col min="6883" max="6883" width="32.75" style="9" customWidth="1"/>
    <col min="6884" max="6885" width="6.5" style="9" customWidth="1"/>
    <col min="6886" max="6887" width="12.5" style="9" customWidth="1"/>
    <col min="6888" max="6888" width="22.5" style="9" customWidth="1"/>
    <col min="6889" max="6889" width="10.5" style="9" bestFit="1" customWidth="1"/>
    <col min="6890" max="7137" width="8.875" style="9"/>
    <col min="7138" max="7138" width="5.5" style="9" customWidth="1"/>
    <col min="7139" max="7139" width="32.75" style="9" customWidth="1"/>
    <col min="7140" max="7141" width="6.5" style="9" customWidth="1"/>
    <col min="7142" max="7143" width="12.5" style="9" customWidth="1"/>
    <col min="7144" max="7144" width="22.5" style="9" customWidth="1"/>
    <col min="7145" max="7145" width="10.5" style="9" bestFit="1" customWidth="1"/>
    <col min="7146" max="7393" width="8.875" style="9"/>
    <col min="7394" max="7394" width="5.5" style="9" customWidth="1"/>
    <col min="7395" max="7395" width="32.75" style="9" customWidth="1"/>
    <col min="7396" max="7397" width="6.5" style="9" customWidth="1"/>
    <col min="7398" max="7399" width="12.5" style="9" customWidth="1"/>
    <col min="7400" max="7400" width="22.5" style="9" customWidth="1"/>
    <col min="7401" max="7401" width="10.5" style="9" bestFit="1" customWidth="1"/>
    <col min="7402" max="7649" width="8.875" style="9"/>
    <col min="7650" max="7650" width="5.5" style="9" customWidth="1"/>
    <col min="7651" max="7651" width="32.75" style="9" customWidth="1"/>
    <col min="7652" max="7653" width="6.5" style="9" customWidth="1"/>
    <col min="7654" max="7655" width="12.5" style="9" customWidth="1"/>
    <col min="7656" max="7656" width="22.5" style="9" customWidth="1"/>
    <col min="7657" max="7657" width="10.5" style="9" bestFit="1" customWidth="1"/>
    <col min="7658" max="7905" width="8.875" style="9"/>
    <col min="7906" max="7906" width="5.5" style="9" customWidth="1"/>
    <col min="7907" max="7907" width="32.75" style="9" customWidth="1"/>
    <col min="7908" max="7909" width="6.5" style="9" customWidth="1"/>
    <col min="7910" max="7911" width="12.5" style="9" customWidth="1"/>
    <col min="7912" max="7912" width="22.5" style="9" customWidth="1"/>
    <col min="7913" max="7913" width="10.5" style="9" bestFit="1" customWidth="1"/>
    <col min="7914" max="8161" width="8.875" style="9"/>
    <col min="8162" max="8162" width="5.5" style="9" customWidth="1"/>
    <col min="8163" max="8163" width="32.75" style="9" customWidth="1"/>
    <col min="8164" max="8165" width="6.5" style="9" customWidth="1"/>
    <col min="8166" max="8167" width="12.5" style="9" customWidth="1"/>
    <col min="8168" max="8168" width="22.5" style="9" customWidth="1"/>
    <col min="8169" max="8169" width="10.5" style="9" bestFit="1" customWidth="1"/>
    <col min="8170" max="8417" width="8.875" style="9"/>
    <col min="8418" max="8418" width="5.5" style="9" customWidth="1"/>
    <col min="8419" max="8419" width="32.75" style="9" customWidth="1"/>
    <col min="8420" max="8421" width="6.5" style="9" customWidth="1"/>
    <col min="8422" max="8423" width="12.5" style="9" customWidth="1"/>
    <col min="8424" max="8424" width="22.5" style="9" customWidth="1"/>
    <col min="8425" max="8425" width="10.5" style="9" bestFit="1" customWidth="1"/>
    <col min="8426" max="8673" width="8.875" style="9"/>
    <col min="8674" max="8674" width="5.5" style="9" customWidth="1"/>
    <col min="8675" max="8675" width="32.75" style="9" customWidth="1"/>
    <col min="8676" max="8677" width="6.5" style="9" customWidth="1"/>
    <col min="8678" max="8679" width="12.5" style="9" customWidth="1"/>
    <col min="8680" max="8680" width="22.5" style="9" customWidth="1"/>
    <col min="8681" max="8681" width="10.5" style="9" bestFit="1" customWidth="1"/>
    <col min="8682" max="8929" width="8.875" style="9"/>
    <col min="8930" max="8930" width="5.5" style="9" customWidth="1"/>
    <col min="8931" max="8931" width="32.75" style="9" customWidth="1"/>
    <col min="8932" max="8933" width="6.5" style="9" customWidth="1"/>
    <col min="8934" max="8935" width="12.5" style="9" customWidth="1"/>
    <col min="8936" max="8936" width="22.5" style="9" customWidth="1"/>
    <col min="8937" max="8937" width="10.5" style="9" bestFit="1" customWidth="1"/>
    <col min="8938" max="9185" width="8.875" style="9"/>
    <col min="9186" max="9186" width="5.5" style="9" customWidth="1"/>
    <col min="9187" max="9187" width="32.75" style="9" customWidth="1"/>
    <col min="9188" max="9189" width="6.5" style="9" customWidth="1"/>
    <col min="9190" max="9191" width="12.5" style="9" customWidth="1"/>
    <col min="9192" max="9192" width="22.5" style="9" customWidth="1"/>
    <col min="9193" max="9193" width="10.5" style="9" bestFit="1" customWidth="1"/>
    <col min="9194" max="9441" width="8.875" style="9"/>
    <col min="9442" max="9442" width="5.5" style="9" customWidth="1"/>
    <col min="9443" max="9443" width="32.75" style="9" customWidth="1"/>
    <col min="9444" max="9445" width="6.5" style="9" customWidth="1"/>
    <col min="9446" max="9447" width="12.5" style="9" customWidth="1"/>
    <col min="9448" max="9448" width="22.5" style="9" customWidth="1"/>
    <col min="9449" max="9449" width="10.5" style="9" bestFit="1" customWidth="1"/>
    <col min="9450" max="9697" width="8.875" style="9"/>
    <col min="9698" max="9698" width="5.5" style="9" customWidth="1"/>
    <col min="9699" max="9699" width="32.75" style="9" customWidth="1"/>
    <col min="9700" max="9701" width="6.5" style="9" customWidth="1"/>
    <col min="9702" max="9703" width="12.5" style="9" customWidth="1"/>
    <col min="9704" max="9704" width="22.5" style="9" customWidth="1"/>
    <col min="9705" max="9705" width="10.5" style="9" bestFit="1" customWidth="1"/>
    <col min="9706" max="9953" width="8.875" style="9"/>
    <col min="9954" max="9954" width="5.5" style="9" customWidth="1"/>
    <col min="9955" max="9955" width="32.75" style="9" customWidth="1"/>
    <col min="9956" max="9957" width="6.5" style="9" customWidth="1"/>
    <col min="9958" max="9959" width="12.5" style="9" customWidth="1"/>
    <col min="9960" max="9960" width="22.5" style="9" customWidth="1"/>
    <col min="9961" max="9961" width="10.5" style="9" bestFit="1" customWidth="1"/>
    <col min="9962" max="10209" width="8.875" style="9"/>
    <col min="10210" max="10210" width="5.5" style="9" customWidth="1"/>
    <col min="10211" max="10211" width="32.75" style="9" customWidth="1"/>
    <col min="10212" max="10213" width="6.5" style="9" customWidth="1"/>
    <col min="10214" max="10215" width="12.5" style="9" customWidth="1"/>
    <col min="10216" max="10216" width="22.5" style="9" customWidth="1"/>
    <col min="10217" max="10217" width="10.5" style="9" bestFit="1" customWidth="1"/>
    <col min="10218" max="10465" width="8.875" style="9"/>
    <col min="10466" max="10466" width="5.5" style="9" customWidth="1"/>
    <col min="10467" max="10467" width="32.75" style="9" customWidth="1"/>
    <col min="10468" max="10469" width="6.5" style="9" customWidth="1"/>
    <col min="10470" max="10471" width="12.5" style="9" customWidth="1"/>
    <col min="10472" max="10472" width="22.5" style="9" customWidth="1"/>
    <col min="10473" max="10473" width="10.5" style="9" bestFit="1" customWidth="1"/>
    <col min="10474" max="10721" width="8.875" style="9"/>
    <col min="10722" max="10722" width="5.5" style="9" customWidth="1"/>
    <col min="10723" max="10723" width="32.75" style="9" customWidth="1"/>
    <col min="10724" max="10725" width="6.5" style="9" customWidth="1"/>
    <col min="10726" max="10727" width="12.5" style="9" customWidth="1"/>
    <col min="10728" max="10728" width="22.5" style="9" customWidth="1"/>
    <col min="10729" max="10729" width="10.5" style="9" bestFit="1" customWidth="1"/>
    <col min="10730" max="10977" width="8.875" style="9"/>
    <col min="10978" max="10978" width="5.5" style="9" customWidth="1"/>
    <col min="10979" max="10979" width="32.75" style="9" customWidth="1"/>
    <col min="10980" max="10981" width="6.5" style="9" customWidth="1"/>
    <col min="10982" max="10983" width="12.5" style="9" customWidth="1"/>
    <col min="10984" max="10984" width="22.5" style="9" customWidth="1"/>
    <col min="10985" max="10985" width="10.5" style="9" bestFit="1" customWidth="1"/>
    <col min="10986" max="11233" width="8.875" style="9"/>
    <col min="11234" max="11234" width="5.5" style="9" customWidth="1"/>
    <col min="11235" max="11235" width="32.75" style="9" customWidth="1"/>
    <col min="11236" max="11237" width="6.5" style="9" customWidth="1"/>
    <col min="11238" max="11239" width="12.5" style="9" customWidth="1"/>
    <col min="11240" max="11240" width="22.5" style="9" customWidth="1"/>
    <col min="11241" max="11241" width="10.5" style="9" bestFit="1" customWidth="1"/>
    <col min="11242" max="11489" width="8.875" style="9"/>
    <col min="11490" max="11490" width="5.5" style="9" customWidth="1"/>
    <col min="11491" max="11491" width="32.75" style="9" customWidth="1"/>
    <col min="11492" max="11493" width="6.5" style="9" customWidth="1"/>
    <col min="11494" max="11495" width="12.5" style="9" customWidth="1"/>
    <col min="11496" max="11496" width="22.5" style="9" customWidth="1"/>
    <col min="11497" max="11497" width="10.5" style="9" bestFit="1" customWidth="1"/>
    <col min="11498" max="11745" width="8.875" style="9"/>
    <col min="11746" max="11746" width="5.5" style="9" customWidth="1"/>
    <col min="11747" max="11747" width="32.75" style="9" customWidth="1"/>
    <col min="11748" max="11749" width="6.5" style="9" customWidth="1"/>
    <col min="11750" max="11751" width="12.5" style="9" customWidth="1"/>
    <col min="11752" max="11752" width="22.5" style="9" customWidth="1"/>
    <col min="11753" max="11753" width="10.5" style="9" bestFit="1" customWidth="1"/>
    <col min="11754" max="12001" width="8.875" style="9"/>
    <col min="12002" max="12002" width="5.5" style="9" customWidth="1"/>
    <col min="12003" max="12003" width="32.75" style="9" customWidth="1"/>
    <col min="12004" max="12005" width="6.5" style="9" customWidth="1"/>
    <col min="12006" max="12007" width="12.5" style="9" customWidth="1"/>
    <col min="12008" max="12008" width="22.5" style="9" customWidth="1"/>
    <col min="12009" max="12009" width="10.5" style="9" bestFit="1" customWidth="1"/>
    <col min="12010" max="12257" width="8.875" style="9"/>
    <col min="12258" max="12258" width="5.5" style="9" customWidth="1"/>
    <col min="12259" max="12259" width="32.75" style="9" customWidth="1"/>
    <col min="12260" max="12261" width="6.5" style="9" customWidth="1"/>
    <col min="12262" max="12263" width="12.5" style="9" customWidth="1"/>
    <col min="12264" max="12264" width="22.5" style="9" customWidth="1"/>
    <col min="12265" max="12265" width="10.5" style="9" bestFit="1" customWidth="1"/>
    <col min="12266" max="12513" width="8.875" style="9"/>
    <col min="12514" max="12514" width="5.5" style="9" customWidth="1"/>
    <col min="12515" max="12515" width="32.75" style="9" customWidth="1"/>
    <col min="12516" max="12517" width="6.5" style="9" customWidth="1"/>
    <col min="12518" max="12519" width="12.5" style="9" customWidth="1"/>
    <col min="12520" max="12520" width="22.5" style="9" customWidth="1"/>
    <col min="12521" max="12521" width="10.5" style="9" bestFit="1" customWidth="1"/>
    <col min="12522" max="12769" width="8.875" style="9"/>
    <col min="12770" max="12770" width="5.5" style="9" customWidth="1"/>
    <col min="12771" max="12771" width="32.75" style="9" customWidth="1"/>
    <col min="12772" max="12773" width="6.5" style="9" customWidth="1"/>
    <col min="12774" max="12775" width="12.5" style="9" customWidth="1"/>
    <col min="12776" max="12776" width="22.5" style="9" customWidth="1"/>
    <col min="12777" max="12777" width="10.5" style="9" bestFit="1" customWidth="1"/>
    <col min="12778" max="13025" width="8.875" style="9"/>
    <col min="13026" max="13026" width="5.5" style="9" customWidth="1"/>
    <col min="13027" max="13027" width="32.75" style="9" customWidth="1"/>
    <col min="13028" max="13029" width="6.5" style="9" customWidth="1"/>
    <col min="13030" max="13031" width="12.5" style="9" customWidth="1"/>
    <col min="13032" max="13032" width="22.5" style="9" customWidth="1"/>
    <col min="13033" max="13033" width="10.5" style="9" bestFit="1" customWidth="1"/>
    <col min="13034" max="13281" width="8.875" style="9"/>
    <col min="13282" max="13282" width="5.5" style="9" customWidth="1"/>
    <col min="13283" max="13283" width="32.75" style="9" customWidth="1"/>
    <col min="13284" max="13285" width="6.5" style="9" customWidth="1"/>
    <col min="13286" max="13287" width="12.5" style="9" customWidth="1"/>
    <col min="13288" max="13288" width="22.5" style="9" customWidth="1"/>
    <col min="13289" max="13289" width="10.5" style="9" bestFit="1" customWidth="1"/>
    <col min="13290" max="13537" width="8.875" style="9"/>
    <col min="13538" max="13538" width="5.5" style="9" customWidth="1"/>
    <col min="13539" max="13539" width="32.75" style="9" customWidth="1"/>
    <col min="13540" max="13541" width="6.5" style="9" customWidth="1"/>
    <col min="13542" max="13543" width="12.5" style="9" customWidth="1"/>
    <col min="13544" max="13544" width="22.5" style="9" customWidth="1"/>
    <col min="13545" max="13545" width="10.5" style="9" bestFit="1" customWidth="1"/>
    <col min="13546" max="13793" width="8.875" style="9"/>
    <col min="13794" max="13794" width="5.5" style="9" customWidth="1"/>
    <col min="13795" max="13795" width="32.75" style="9" customWidth="1"/>
    <col min="13796" max="13797" width="6.5" style="9" customWidth="1"/>
    <col min="13798" max="13799" width="12.5" style="9" customWidth="1"/>
    <col min="13800" max="13800" width="22.5" style="9" customWidth="1"/>
    <col min="13801" max="13801" width="10.5" style="9" bestFit="1" customWidth="1"/>
    <col min="13802" max="14049" width="8.875" style="9"/>
    <col min="14050" max="14050" width="5.5" style="9" customWidth="1"/>
    <col min="14051" max="14051" width="32.75" style="9" customWidth="1"/>
    <col min="14052" max="14053" width="6.5" style="9" customWidth="1"/>
    <col min="14054" max="14055" width="12.5" style="9" customWidth="1"/>
    <col min="14056" max="14056" width="22.5" style="9" customWidth="1"/>
    <col min="14057" max="14057" width="10.5" style="9" bestFit="1" customWidth="1"/>
    <col min="14058" max="14305" width="8.875" style="9"/>
    <col min="14306" max="14306" width="5.5" style="9" customWidth="1"/>
    <col min="14307" max="14307" width="32.75" style="9" customWidth="1"/>
    <col min="14308" max="14309" width="6.5" style="9" customWidth="1"/>
    <col min="14310" max="14311" width="12.5" style="9" customWidth="1"/>
    <col min="14312" max="14312" width="22.5" style="9" customWidth="1"/>
    <col min="14313" max="14313" width="10.5" style="9" bestFit="1" customWidth="1"/>
    <col min="14314" max="14561" width="8.875" style="9"/>
    <col min="14562" max="14562" width="5.5" style="9" customWidth="1"/>
    <col min="14563" max="14563" width="32.75" style="9" customWidth="1"/>
    <col min="14564" max="14565" width="6.5" style="9" customWidth="1"/>
    <col min="14566" max="14567" width="12.5" style="9" customWidth="1"/>
    <col min="14568" max="14568" width="22.5" style="9" customWidth="1"/>
    <col min="14569" max="14569" width="10.5" style="9" bestFit="1" customWidth="1"/>
    <col min="14570" max="14817" width="8.875" style="9"/>
    <col min="14818" max="14818" width="5.5" style="9" customWidth="1"/>
    <col min="14819" max="14819" width="32.75" style="9" customWidth="1"/>
    <col min="14820" max="14821" width="6.5" style="9" customWidth="1"/>
    <col min="14822" max="14823" width="12.5" style="9" customWidth="1"/>
    <col min="14824" max="14824" width="22.5" style="9" customWidth="1"/>
    <col min="14825" max="14825" width="10.5" style="9" bestFit="1" customWidth="1"/>
    <col min="14826" max="15073" width="8.875" style="9"/>
    <col min="15074" max="15074" width="5.5" style="9" customWidth="1"/>
    <col min="15075" max="15075" width="32.75" style="9" customWidth="1"/>
    <col min="15076" max="15077" width="6.5" style="9" customWidth="1"/>
    <col min="15078" max="15079" width="12.5" style="9" customWidth="1"/>
    <col min="15080" max="15080" width="22.5" style="9" customWidth="1"/>
    <col min="15081" max="15081" width="10.5" style="9" bestFit="1" customWidth="1"/>
    <col min="15082" max="15329" width="8.875" style="9"/>
    <col min="15330" max="15330" width="5.5" style="9" customWidth="1"/>
    <col min="15331" max="15331" width="32.75" style="9" customWidth="1"/>
    <col min="15332" max="15333" width="6.5" style="9" customWidth="1"/>
    <col min="15334" max="15335" width="12.5" style="9" customWidth="1"/>
    <col min="15336" max="15336" width="22.5" style="9" customWidth="1"/>
    <col min="15337" max="15337" width="10.5" style="9" bestFit="1" customWidth="1"/>
    <col min="15338" max="15585" width="8.875" style="9"/>
    <col min="15586" max="15586" width="5.5" style="9" customWidth="1"/>
    <col min="15587" max="15587" width="32.75" style="9" customWidth="1"/>
    <col min="15588" max="15589" width="6.5" style="9" customWidth="1"/>
    <col min="15590" max="15591" width="12.5" style="9" customWidth="1"/>
    <col min="15592" max="15592" width="22.5" style="9" customWidth="1"/>
    <col min="15593" max="15593" width="10.5" style="9" bestFit="1" customWidth="1"/>
    <col min="15594" max="15841" width="8.875" style="9"/>
    <col min="15842" max="15842" width="5.5" style="9" customWidth="1"/>
    <col min="15843" max="15843" width="32.75" style="9" customWidth="1"/>
    <col min="15844" max="15845" width="6.5" style="9" customWidth="1"/>
    <col min="15846" max="15847" width="12.5" style="9" customWidth="1"/>
    <col min="15848" max="15848" width="22.5" style="9" customWidth="1"/>
    <col min="15849" max="15849" width="10.5" style="9" bestFit="1" customWidth="1"/>
    <col min="15850" max="16097" width="8.875" style="9"/>
    <col min="16098" max="16098" width="5.5" style="9" customWidth="1"/>
    <col min="16099" max="16099" width="32.75" style="9" customWidth="1"/>
    <col min="16100" max="16101" width="6.5" style="9" customWidth="1"/>
    <col min="16102" max="16103" width="12.5" style="9" customWidth="1"/>
    <col min="16104" max="16104" width="22.5" style="9" customWidth="1"/>
    <col min="16105" max="16105" width="10.5" style="9" bestFit="1" customWidth="1"/>
    <col min="16106" max="16357" width="8.875" style="9"/>
    <col min="16358" max="16384" width="9" style="9" customWidth="1"/>
  </cols>
  <sheetData>
    <row r="1" spans="1:13" s="20" customFormat="1" ht="62.25" customHeight="1">
      <c r="A1" s="2"/>
      <c r="B1" s="1"/>
      <c r="C1" s="1"/>
      <c r="D1" s="1"/>
      <c r="E1" s="1"/>
      <c r="F1" s="1"/>
      <c r="G1" s="3"/>
      <c r="H1" s="53"/>
      <c r="I1" s="53"/>
      <c r="J1" s="53"/>
      <c r="K1" s="53"/>
      <c r="L1" s="53"/>
      <c r="M1" s="29"/>
    </row>
    <row r="2" spans="1:13" s="4" customFormat="1" ht="21" customHeight="1" thickBot="1">
      <c r="A2" s="68" t="s">
        <v>0</v>
      </c>
      <c r="B2" s="69"/>
      <c r="C2" s="69"/>
      <c r="D2" s="69"/>
      <c r="E2" s="69"/>
      <c r="F2" s="69"/>
      <c r="G2" s="70"/>
      <c r="H2" s="54"/>
      <c r="I2" s="54"/>
      <c r="J2" s="54"/>
      <c r="K2" s="54"/>
      <c r="L2" s="54"/>
      <c r="M2" s="30"/>
    </row>
    <row r="3" spans="1:13" s="5" customFormat="1" ht="17.100000000000001" customHeight="1">
      <c r="A3" s="62" t="s">
        <v>110</v>
      </c>
      <c r="B3" s="63"/>
      <c r="C3" s="71" t="s">
        <v>15</v>
      </c>
      <c r="D3" s="71"/>
      <c r="E3" s="71"/>
      <c r="F3" s="72" t="s">
        <v>19</v>
      </c>
      <c r="G3" s="73"/>
      <c r="H3" s="49"/>
      <c r="I3" s="49"/>
      <c r="J3" s="49"/>
      <c r="K3" s="49"/>
      <c r="L3" s="49"/>
      <c r="M3" s="24"/>
    </row>
    <row r="4" spans="1:13" s="5" customFormat="1" ht="17.100000000000001" customHeight="1">
      <c r="A4" s="64"/>
      <c r="B4" s="65"/>
      <c r="C4" s="56" t="s">
        <v>16</v>
      </c>
      <c r="D4" s="56"/>
      <c r="E4" s="56"/>
      <c r="F4" s="74" t="s">
        <v>110</v>
      </c>
      <c r="G4" s="75"/>
      <c r="H4" s="49"/>
      <c r="I4" s="49"/>
      <c r="J4" s="49"/>
      <c r="K4" s="49"/>
      <c r="L4" s="49"/>
      <c r="M4" s="24"/>
    </row>
    <row r="5" spans="1:13" s="5" customFormat="1" ht="17.100000000000001" customHeight="1">
      <c r="A5" s="64"/>
      <c r="B5" s="65"/>
      <c r="C5" s="56" t="s">
        <v>17</v>
      </c>
      <c r="D5" s="56"/>
      <c r="E5" s="56"/>
      <c r="F5" s="57" t="s">
        <v>57</v>
      </c>
      <c r="G5" s="58"/>
      <c r="H5" s="49"/>
      <c r="I5" s="49"/>
      <c r="J5" s="49"/>
      <c r="K5" s="49"/>
      <c r="L5" s="49"/>
      <c r="M5" s="24"/>
    </row>
    <row r="6" spans="1:13" s="5" customFormat="1" ht="17.100000000000001" customHeight="1">
      <c r="A6" s="66"/>
      <c r="B6" s="67"/>
      <c r="C6" s="59" t="s">
        <v>18</v>
      </c>
      <c r="D6" s="59"/>
      <c r="E6" s="59"/>
      <c r="F6" s="60"/>
      <c r="G6" s="61"/>
      <c r="H6" s="49"/>
      <c r="I6" s="49"/>
      <c r="J6" s="49"/>
      <c r="K6" s="49"/>
      <c r="L6" s="49"/>
      <c r="M6" s="24"/>
    </row>
    <row r="7" spans="1:13" ht="18.600000000000001" customHeight="1">
      <c r="A7" s="6" t="s">
        <v>1</v>
      </c>
      <c r="B7" s="7" t="s">
        <v>10</v>
      </c>
      <c r="C7" s="7" t="s">
        <v>2</v>
      </c>
      <c r="D7" s="14" t="s">
        <v>11</v>
      </c>
      <c r="E7" s="8" t="s">
        <v>12</v>
      </c>
      <c r="F7" s="8" t="s">
        <v>13</v>
      </c>
      <c r="G7" s="15" t="s">
        <v>14</v>
      </c>
      <c r="H7" s="49"/>
      <c r="I7" s="49" t="s">
        <v>38</v>
      </c>
      <c r="J7" s="49" t="s">
        <v>39</v>
      </c>
      <c r="K7" s="49" t="s">
        <v>40</v>
      </c>
      <c r="L7" s="50" t="s">
        <v>41</v>
      </c>
      <c r="M7" s="24"/>
    </row>
    <row r="8" spans="1:13" ht="9.75" customHeight="1">
      <c r="A8" s="10" t="s">
        <v>3</v>
      </c>
      <c r="B8" s="11" t="s">
        <v>4</v>
      </c>
      <c r="C8" s="11" t="s">
        <v>5</v>
      </c>
      <c r="D8" s="16" t="s">
        <v>6</v>
      </c>
      <c r="E8" s="12" t="s">
        <v>7</v>
      </c>
      <c r="F8" s="12" t="s">
        <v>8</v>
      </c>
      <c r="G8" s="17" t="s">
        <v>9</v>
      </c>
      <c r="H8" s="49"/>
      <c r="I8" s="49"/>
      <c r="J8" s="49"/>
      <c r="K8" s="49"/>
      <c r="L8" s="50"/>
      <c r="M8" s="24"/>
    </row>
    <row r="9" spans="1:13" ht="24" customHeight="1">
      <c r="A9" s="25" t="s">
        <v>20</v>
      </c>
      <c r="B9" s="22" t="s">
        <v>24</v>
      </c>
      <c r="C9" s="21"/>
      <c r="D9" s="21"/>
      <c r="F9" s="26"/>
      <c r="G9" s="43"/>
      <c r="H9" s="49"/>
      <c r="I9" s="49"/>
      <c r="J9" s="49"/>
      <c r="K9" s="49"/>
      <c r="L9" s="50"/>
      <c r="M9" s="24"/>
    </row>
    <row r="10" spans="1:13" ht="24" customHeight="1">
      <c r="A10" s="25" t="s">
        <v>32</v>
      </c>
      <c r="B10" s="22" t="s">
        <v>27</v>
      </c>
      <c r="C10" s="21" t="s">
        <v>22</v>
      </c>
      <c r="D10" s="21">
        <v>1</v>
      </c>
      <c r="E10" s="26">
        <f>F49</f>
        <v>434100</v>
      </c>
      <c r="F10" s="26">
        <f>E10*D10</f>
        <v>434100</v>
      </c>
      <c r="G10" s="43"/>
      <c r="H10" s="49"/>
      <c r="I10" s="49"/>
      <c r="J10" s="49">
        <f>J49</f>
        <v>304336</v>
      </c>
      <c r="K10" s="49">
        <f t="shared" ref="K10:K11" si="0">F10-J10</f>
        <v>129764</v>
      </c>
      <c r="L10" s="50">
        <f t="shared" ref="L10:L11" si="1">K10/F10</f>
        <v>0.29892651462796593</v>
      </c>
      <c r="M10" s="24"/>
    </row>
    <row r="11" spans="1:13" ht="24" customHeight="1">
      <c r="A11" s="25" t="s">
        <v>21</v>
      </c>
      <c r="B11" s="22" t="s">
        <v>26</v>
      </c>
      <c r="C11" s="21" t="s">
        <v>22</v>
      </c>
      <c r="D11" s="21">
        <v>1</v>
      </c>
      <c r="E11" s="26">
        <f>F59</f>
        <v>438300</v>
      </c>
      <c r="F11" s="26">
        <f t="shared" ref="F11:F16" si="2">E11*D11</f>
        <v>438300</v>
      </c>
      <c r="G11" s="45"/>
      <c r="H11" s="49"/>
      <c r="I11" s="49"/>
      <c r="J11" s="49">
        <f>J59</f>
        <v>317360</v>
      </c>
      <c r="K11" s="49">
        <f t="shared" si="0"/>
        <v>120940</v>
      </c>
      <c r="L11" s="50">
        <f t="shared" si="1"/>
        <v>0.27592972849646363</v>
      </c>
      <c r="M11" s="24"/>
    </row>
    <row r="12" spans="1:13" ht="24" customHeight="1">
      <c r="A12" s="25" t="s">
        <v>127</v>
      </c>
      <c r="B12" s="22" t="s">
        <v>84</v>
      </c>
      <c r="C12" s="21" t="s">
        <v>22</v>
      </c>
      <c r="D12" s="21">
        <v>1</v>
      </c>
      <c r="E12" s="26">
        <f>SUM(F62:F65)</f>
        <v>735000</v>
      </c>
      <c r="F12" s="26">
        <f t="shared" si="2"/>
        <v>735000</v>
      </c>
      <c r="G12" s="45"/>
      <c r="H12" s="49"/>
      <c r="I12" s="49"/>
      <c r="J12" s="49">
        <f>J66</f>
        <v>576584</v>
      </c>
      <c r="K12" s="49">
        <f t="shared" ref="K12:K16" si="3">F12-J12</f>
        <v>158416</v>
      </c>
      <c r="L12" s="50">
        <f t="shared" ref="L12:L17" si="4">K12/F12</f>
        <v>0.21553197278911565</v>
      </c>
      <c r="M12" s="24"/>
    </row>
    <row r="13" spans="1:13" ht="24" customHeight="1">
      <c r="A13" s="25" t="s">
        <v>128</v>
      </c>
      <c r="B13" s="22" t="s">
        <v>30</v>
      </c>
      <c r="C13" s="21" t="s">
        <v>22</v>
      </c>
      <c r="D13" s="21">
        <v>1</v>
      </c>
      <c r="E13" s="26">
        <f>SUM(F69:F73)</f>
        <v>559000</v>
      </c>
      <c r="F13" s="26">
        <f t="shared" si="2"/>
        <v>559000</v>
      </c>
      <c r="G13" s="45"/>
      <c r="H13" s="49"/>
      <c r="I13" s="49"/>
      <c r="J13" s="49">
        <f>J74</f>
        <v>411795</v>
      </c>
      <c r="K13" s="49">
        <f t="shared" si="3"/>
        <v>147205</v>
      </c>
      <c r="L13" s="50">
        <f t="shared" si="4"/>
        <v>0.26333631484794273</v>
      </c>
      <c r="M13" s="24"/>
    </row>
    <row r="14" spans="1:13" ht="24" customHeight="1">
      <c r="A14" s="25" t="s">
        <v>129</v>
      </c>
      <c r="B14" s="22" t="s">
        <v>115</v>
      </c>
      <c r="C14" s="21" t="s">
        <v>22</v>
      </c>
      <c r="D14" s="21">
        <v>1</v>
      </c>
      <c r="E14" s="26">
        <f>SUM(F77:F82)</f>
        <v>1806920</v>
      </c>
      <c r="F14" s="26">
        <f t="shared" si="2"/>
        <v>1806920</v>
      </c>
      <c r="G14" s="45"/>
      <c r="H14" s="49"/>
      <c r="I14" s="49"/>
      <c r="J14" s="49">
        <f>J83</f>
        <v>1302400</v>
      </c>
      <c r="K14" s="49">
        <f t="shared" ref="K14" si="5">F14-J14</f>
        <v>504520</v>
      </c>
      <c r="L14" s="50">
        <f t="shared" ref="L14" si="6">K14/F14</f>
        <v>0.2792154605627255</v>
      </c>
      <c r="M14" s="24"/>
    </row>
    <row r="15" spans="1:13" ht="24" customHeight="1">
      <c r="A15" s="25" t="s">
        <v>130</v>
      </c>
      <c r="B15" s="22" t="s">
        <v>35</v>
      </c>
      <c r="C15" s="21" t="s">
        <v>22</v>
      </c>
      <c r="D15" s="21">
        <v>1</v>
      </c>
      <c r="E15" s="26">
        <f>SUM(F86:F88)</f>
        <v>335030</v>
      </c>
      <c r="F15" s="26">
        <f t="shared" si="2"/>
        <v>335030</v>
      </c>
      <c r="G15" s="45"/>
      <c r="H15" s="49"/>
      <c r="I15" s="49"/>
      <c r="J15" s="49">
        <f>J89</f>
        <v>249281</v>
      </c>
      <c r="K15" s="49">
        <f t="shared" si="3"/>
        <v>85749</v>
      </c>
      <c r="L15" s="50">
        <f t="shared" si="4"/>
        <v>0.25594424379906278</v>
      </c>
      <c r="M15" s="24"/>
    </row>
    <row r="16" spans="1:13" ht="24" customHeight="1">
      <c r="A16" s="25" t="s">
        <v>131</v>
      </c>
      <c r="B16" s="22" t="s">
        <v>42</v>
      </c>
      <c r="C16" s="21" t="s">
        <v>22</v>
      </c>
      <c r="D16" s="21">
        <v>1</v>
      </c>
      <c r="E16" s="26">
        <f>SUM(F92:F96)</f>
        <v>124500</v>
      </c>
      <c r="F16" s="26">
        <f t="shared" si="2"/>
        <v>124500</v>
      </c>
      <c r="G16" s="45"/>
      <c r="H16" s="49"/>
      <c r="I16" s="49"/>
      <c r="J16" s="49">
        <f>J97</f>
        <v>37165</v>
      </c>
      <c r="K16" s="49">
        <f t="shared" si="3"/>
        <v>87335</v>
      </c>
      <c r="L16" s="50">
        <f t="shared" si="4"/>
        <v>0.70148594377510043</v>
      </c>
      <c r="M16" s="24"/>
    </row>
    <row r="17" spans="1:13" ht="24" customHeight="1">
      <c r="A17" s="25"/>
      <c r="B17" s="27" t="s">
        <v>25</v>
      </c>
      <c r="C17" s="21"/>
      <c r="D17" s="21"/>
      <c r="E17" s="26"/>
      <c r="F17" s="28">
        <f>SUM(F10:F16)</f>
        <v>4432850</v>
      </c>
      <c r="G17" s="45"/>
      <c r="H17" s="49"/>
      <c r="I17" s="49"/>
      <c r="J17" s="51">
        <f>SUM(J10:J16)</f>
        <v>3198921</v>
      </c>
      <c r="K17" s="51">
        <f>F17-J17</f>
        <v>1233929</v>
      </c>
      <c r="L17" s="52">
        <f t="shared" si="4"/>
        <v>0.27836019716435251</v>
      </c>
      <c r="M17" s="24"/>
    </row>
    <row r="18" spans="1:13" ht="24" customHeight="1">
      <c r="A18" s="25"/>
      <c r="B18" s="27"/>
      <c r="C18" s="21"/>
      <c r="D18" s="21"/>
      <c r="E18" s="26"/>
      <c r="F18" s="28"/>
      <c r="G18" s="45"/>
      <c r="H18" s="49"/>
      <c r="I18" s="49"/>
      <c r="J18" s="51"/>
      <c r="K18" s="51"/>
      <c r="L18" s="52"/>
      <c r="M18" s="24"/>
    </row>
    <row r="19" spans="1:13" ht="24" customHeight="1">
      <c r="A19" s="25"/>
      <c r="B19" s="27"/>
      <c r="C19" s="21"/>
      <c r="D19" s="21"/>
      <c r="E19" s="26"/>
      <c r="F19" s="28"/>
      <c r="G19" s="45"/>
      <c r="H19" s="49"/>
      <c r="I19" s="49"/>
      <c r="J19" s="55"/>
      <c r="K19" s="49"/>
      <c r="L19" s="50"/>
      <c r="M19" s="24"/>
    </row>
    <row r="20" spans="1:13" ht="24" customHeight="1">
      <c r="A20" s="25" t="s">
        <v>46</v>
      </c>
      <c r="B20" s="22" t="s">
        <v>47</v>
      </c>
      <c r="C20" s="21"/>
      <c r="D20" s="21"/>
      <c r="E20" s="26"/>
      <c r="F20" s="28"/>
      <c r="G20" s="45"/>
      <c r="H20" s="49"/>
      <c r="I20" s="49"/>
      <c r="J20" s="55"/>
      <c r="K20" s="49"/>
      <c r="L20" s="50"/>
      <c r="M20" s="24"/>
    </row>
    <row r="21" spans="1:13" ht="24" customHeight="1">
      <c r="A21" s="25" t="s">
        <v>48</v>
      </c>
      <c r="B21" s="22" t="s">
        <v>49</v>
      </c>
      <c r="C21" s="21" t="s">
        <v>22</v>
      </c>
      <c r="D21" s="21">
        <v>1</v>
      </c>
      <c r="E21" s="26">
        <f>ROUNDUP(F17*1.2%,0)</f>
        <v>53195</v>
      </c>
      <c r="F21" s="26">
        <f t="shared" ref="F21:F24" si="7">E21*D21</f>
        <v>53195</v>
      </c>
      <c r="G21" s="45"/>
      <c r="H21" s="49"/>
      <c r="I21" s="49"/>
      <c r="J21" s="49"/>
      <c r="K21" s="49"/>
      <c r="L21" s="50"/>
      <c r="M21" s="24"/>
    </row>
    <row r="22" spans="1:13" ht="24" customHeight="1">
      <c r="A22" s="25" t="s">
        <v>50</v>
      </c>
      <c r="B22" s="22" t="s">
        <v>51</v>
      </c>
      <c r="C22" s="21" t="s">
        <v>22</v>
      </c>
      <c r="D22" s="21">
        <v>1</v>
      </c>
      <c r="E22" s="26">
        <f>ROUNDUP(F17*1.2%,0)</f>
        <v>53195</v>
      </c>
      <c r="F22" s="26">
        <f t="shared" si="7"/>
        <v>53195</v>
      </c>
      <c r="G22" s="45"/>
      <c r="H22" s="49"/>
      <c r="I22" s="49"/>
      <c r="J22" s="49"/>
      <c r="K22" s="49"/>
      <c r="L22" s="50"/>
      <c r="M22" s="24"/>
    </row>
    <row r="23" spans="1:13" ht="24" customHeight="1">
      <c r="A23" s="25" t="s">
        <v>53</v>
      </c>
      <c r="B23" s="22" t="s">
        <v>52</v>
      </c>
      <c r="C23" s="21" t="s">
        <v>22</v>
      </c>
      <c r="D23" s="21">
        <v>1</v>
      </c>
      <c r="E23" s="26">
        <f>ROUNDUP(F17*5%,0)</f>
        <v>221643</v>
      </c>
      <c r="F23" s="26">
        <f t="shared" si="7"/>
        <v>221643</v>
      </c>
      <c r="G23" s="45"/>
      <c r="H23" s="49"/>
      <c r="I23" s="49"/>
      <c r="J23" s="49"/>
      <c r="K23" s="49"/>
      <c r="L23" s="50"/>
      <c r="M23" s="24"/>
    </row>
    <row r="24" spans="1:13" ht="24" customHeight="1">
      <c r="A24" s="25" t="s">
        <v>54</v>
      </c>
      <c r="B24" s="22" t="s">
        <v>55</v>
      </c>
      <c r="C24" s="21" t="s">
        <v>22</v>
      </c>
      <c r="D24" s="21">
        <v>1</v>
      </c>
      <c r="E24" s="26">
        <f>ROUNDUP(F17*0.5%,0)</f>
        <v>22165</v>
      </c>
      <c r="F24" s="26">
        <f t="shared" si="7"/>
        <v>22165</v>
      </c>
      <c r="G24" s="45"/>
      <c r="H24" s="49"/>
      <c r="I24" s="49"/>
      <c r="J24" s="55"/>
      <c r="K24" s="49"/>
      <c r="L24" s="50"/>
      <c r="M24" s="24"/>
    </row>
    <row r="25" spans="1:13" ht="24" customHeight="1">
      <c r="A25" s="25"/>
      <c r="B25" s="27" t="s">
        <v>56</v>
      </c>
      <c r="C25" s="21"/>
      <c r="D25" s="21"/>
      <c r="E25" s="26"/>
      <c r="F25" s="26">
        <f>SUM(F21:F24)</f>
        <v>350198</v>
      </c>
      <c r="G25" s="45"/>
      <c r="H25" s="49"/>
      <c r="I25" s="49"/>
      <c r="J25" s="55"/>
      <c r="K25" s="49"/>
      <c r="L25" s="50"/>
      <c r="M25" s="24"/>
    </row>
    <row r="26" spans="1:13" ht="24" customHeight="1">
      <c r="A26" s="25"/>
      <c r="B26" s="27" t="s">
        <v>69</v>
      </c>
      <c r="C26" s="21"/>
      <c r="D26" s="21"/>
      <c r="E26" s="26"/>
      <c r="F26" s="26">
        <f>F25+F17</f>
        <v>4783048</v>
      </c>
      <c r="G26" s="45"/>
      <c r="H26" s="49"/>
      <c r="I26" s="49"/>
      <c r="J26" s="55"/>
      <c r="K26" s="49"/>
      <c r="L26" s="50"/>
      <c r="M26" s="24"/>
    </row>
    <row r="27" spans="1:13" ht="24" customHeight="1">
      <c r="A27" s="25"/>
      <c r="B27" s="27" t="s">
        <v>45</v>
      </c>
      <c r="C27" s="21"/>
      <c r="D27" s="21"/>
      <c r="E27" s="26"/>
      <c r="F27" s="28">
        <f>ROUNDUP(F26*0.05,0)</f>
        <v>239153</v>
      </c>
      <c r="G27" s="45"/>
      <c r="H27" s="49"/>
      <c r="I27" s="49"/>
      <c r="J27" s="49"/>
      <c r="K27" s="49"/>
      <c r="L27" s="49"/>
      <c r="M27" s="24"/>
    </row>
    <row r="28" spans="1:13" ht="24" customHeight="1">
      <c r="A28" s="25"/>
      <c r="B28" s="27" t="s">
        <v>37</v>
      </c>
      <c r="C28" s="21"/>
      <c r="D28" s="21"/>
      <c r="E28" s="26"/>
      <c r="F28" s="26">
        <f>SUM(F26:F27)</f>
        <v>5022201</v>
      </c>
      <c r="G28" s="44" t="s">
        <v>70</v>
      </c>
      <c r="H28" s="49"/>
      <c r="I28" s="49"/>
      <c r="J28" s="49"/>
      <c r="K28" s="49"/>
      <c r="L28" s="50"/>
      <c r="M28" s="24"/>
    </row>
    <row r="29" spans="1:13" ht="27" customHeight="1" thickBot="1">
      <c r="A29" s="25"/>
      <c r="B29" s="27"/>
      <c r="C29" s="21"/>
      <c r="D29" s="21"/>
      <c r="E29" s="26"/>
      <c r="F29" s="26"/>
      <c r="G29" s="44"/>
    </row>
    <row r="30" spans="1:13" ht="24" customHeight="1">
      <c r="A30" s="34" t="s">
        <v>58</v>
      </c>
      <c r="B30" s="35" t="s">
        <v>59</v>
      </c>
      <c r="C30" s="35"/>
      <c r="D30" s="35"/>
      <c r="E30" s="35"/>
      <c r="F30" s="35"/>
      <c r="G30" s="47"/>
      <c r="I30" s="49"/>
      <c r="K30" s="49"/>
      <c r="L30" s="49"/>
      <c r="M30" s="24"/>
    </row>
    <row r="31" spans="1:13" ht="24" customHeight="1">
      <c r="A31" s="36"/>
      <c r="B31" s="37" t="s">
        <v>111</v>
      </c>
      <c r="C31" s="37"/>
      <c r="D31" s="37"/>
      <c r="E31" s="37"/>
      <c r="F31" s="37"/>
      <c r="G31" s="48"/>
      <c r="I31" s="49"/>
      <c r="K31" s="49"/>
      <c r="L31" s="50"/>
      <c r="M31" s="24"/>
    </row>
    <row r="32" spans="1:13" ht="24" customHeight="1">
      <c r="A32" s="36"/>
      <c r="B32" s="37" t="s">
        <v>112</v>
      </c>
      <c r="C32" s="37"/>
      <c r="D32" s="37"/>
      <c r="E32" s="37"/>
      <c r="F32" s="37"/>
      <c r="G32" s="48"/>
      <c r="I32" s="49"/>
      <c r="J32" s="49"/>
      <c r="K32" s="49"/>
      <c r="L32" s="50"/>
      <c r="M32" s="24"/>
    </row>
    <row r="33" spans="1:14" ht="24" customHeight="1">
      <c r="A33" s="36"/>
      <c r="B33" s="37" t="s">
        <v>113</v>
      </c>
      <c r="C33" s="37"/>
      <c r="D33" s="37"/>
      <c r="E33" s="37"/>
      <c r="F33" s="37"/>
      <c r="G33" s="48"/>
      <c r="I33" s="49"/>
      <c r="J33" s="49"/>
      <c r="K33" s="49"/>
      <c r="L33" s="49"/>
      <c r="M33" s="24"/>
    </row>
    <row r="34" spans="1:14" ht="24" customHeight="1">
      <c r="A34" s="36"/>
      <c r="B34" s="37" t="s">
        <v>114</v>
      </c>
      <c r="C34" s="37"/>
      <c r="D34" s="37"/>
      <c r="E34" s="37"/>
      <c r="F34" s="37"/>
      <c r="G34" s="48"/>
      <c r="I34" s="49"/>
      <c r="J34" s="49"/>
      <c r="K34" s="49"/>
      <c r="L34" s="49"/>
      <c r="M34" s="24"/>
    </row>
    <row r="35" spans="1:14" ht="24" customHeight="1">
      <c r="A35" s="36"/>
      <c r="B35" s="37"/>
      <c r="C35" s="37"/>
      <c r="D35" s="37"/>
      <c r="E35" s="37"/>
      <c r="F35" s="37"/>
      <c r="G35" s="48"/>
      <c r="I35" s="49"/>
      <c r="J35" s="49"/>
      <c r="K35" s="49"/>
      <c r="L35" s="49"/>
      <c r="M35" s="24"/>
    </row>
    <row r="36" spans="1:14" ht="24" customHeight="1">
      <c r="A36" s="36"/>
      <c r="B36" s="37"/>
      <c r="C36" s="37"/>
      <c r="D36" s="37"/>
      <c r="E36" s="37"/>
      <c r="F36" s="37"/>
      <c r="G36" s="48"/>
      <c r="I36" s="49"/>
      <c r="J36" s="49"/>
      <c r="K36" s="49"/>
      <c r="L36" s="49"/>
      <c r="M36" s="24"/>
    </row>
    <row r="37" spans="1:14" ht="24" customHeight="1">
      <c r="A37" s="36"/>
      <c r="C37" s="37"/>
      <c r="D37" s="37"/>
      <c r="E37" s="37"/>
      <c r="F37" s="37"/>
      <c r="G37" s="48"/>
      <c r="H37" s="49"/>
      <c r="I37" s="49"/>
      <c r="J37" s="49"/>
      <c r="K37" s="49"/>
      <c r="L37" s="49"/>
      <c r="M37" s="24"/>
    </row>
    <row r="38" spans="1:14" ht="24" customHeight="1">
      <c r="A38" s="36"/>
      <c r="C38" s="37"/>
      <c r="D38" s="37"/>
      <c r="E38" s="37"/>
      <c r="F38" s="37"/>
      <c r="G38" s="48"/>
      <c r="H38" s="49"/>
      <c r="I38" s="49"/>
      <c r="J38" s="49"/>
      <c r="K38" s="49"/>
      <c r="L38" s="49"/>
      <c r="M38" s="24"/>
    </row>
    <row r="39" spans="1:14" ht="24" customHeight="1">
      <c r="A39" s="25" t="s">
        <v>28</v>
      </c>
      <c r="B39" s="22" t="s">
        <v>27</v>
      </c>
      <c r="C39" s="21"/>
      <c r="D39" s="21"/>
      <c r="E39" s="26"/>
      <c r="G39" s="45"/>
      <c r="H39" s="49"/>
      <c r="I39" s="49" t="s">
        <v>38</v>
      </c>
      <c r="J39" s="49" t="s">
        <v>39</v>
      </c>
      <c r="K39" s="49" t="s">
        <v>40</v>
      </c>
      <c r="L39" s="50" t="s">
        <v>41</v>
      </c>
      <c r="M39" s="24"/>
    </row>
    <row r="40" spans="1:14" ht="24" customHeight="1">
      <c r="A40" s="25" t="s">
        <v>61</v>
      </c>
      <c r="B40" s="22" t="s">
        <v>43</v>
      </c>
      <c r="C40" s="21" t="s">
        <v>22</v>
      </c>
      <c r="D40" s="21">
        <v>1</v>
      </c>
      <c r="E40" s="26">
        <v>8000</v>
      </c>
      <c r="F40" s="26">
        <f>E40*D40</f>
        <v>8000</v>
      </c>
      <c r="G40" s="45"/>
      <c r="H40" s="49">
        <v>4</v>
      </c>
      <c r="I40" s="49">
        <v>1500</v>
      </c>
      <c r="J40" s="49">
        <f t="shared" ref="J40:J48" si="8">I40*H40</f>
        <v>6000</v>
      </c>
      <c r="K40" s="49">
        <f t="shared" ref="K40:K49" si="9">F40-J40</f>
        <v>2000</v>
      </c>
      <c r="L40" s="50">
        <f t="shared" ref="L40:L49" si="10">K40/F40</f>
        <v>0.25</v>
      </c>
      <c r="M40" s="24"/>
      <c r="N40" s="31"/>
    </row>
    <row r="41" spans="1:14" ht="24" customHeight="1">
      <c r="A41" s="25" t="s">
        <v>62</v>
      </c>
      <c r="B41" s="22" t="s">
        <v>82</v>
      </c>
      <c r="C41" s="21" t="s">
        <v>31</v>
      </c>
      <c r="D41" s="21">
        <v>55</v>
      </c>
      <c r="E41" s="26">
        <v>1500</v>
      </c>
      <c r="F41" s="26">
        <f>E41*D41</f>
        <v>82500</v>
      </c>
      <c r="G41" s="45"/>
      <c r="H41" s="49">
        <v>55</v>
      </c>
      <c r="I41" s="49">
        <v>1100</v>
      </c>
      <c r="J41" s="49">
        <f t="shared" si="8"/>
        <v>60500</v>
      </c>
      <c r="K41" s="49">
        <f t="shared" si="9"/>
        <v>22000</v>
      </c>
      <c r="L41" s="50">
        <f t="shared" si="10"/>
        <v>0.26666666666666666</v>
      </c>
      <c r="M41" s="24"/>
      <c r="N41" s="31"/>
    </row>
    <row r="42" spans="1:14" ht="24" customHeight="1">
      <c r="A42" s="25" t="s">
        <v>63</v>
      </c>
      <c r="B42" s="22" t="s">
        <v>83</v>
      </c>
      <c r="C42" s="21" t="s">
        <v>44</v>
      </c>
      <c r="D42" s="21">
        <v>45</v>
      </c>
      <c r="E42" s="26">
        <v>2680</v>
      </c>
      <c r="F42" s="26">
        <f>E42*D42</f>
        <v>120600</v>
      </c>
      <c r="G42" s="45"/>
      <c r="H42" s="49">
        <v>35</v>
      </c>
      <c r="I42" s="49">
        <v>2500</v>
      </c>
      <c r="J42" s="49">
        <f t="shared" ref="J42" si="11">I42*H42</f>
        <v>87500</v>
      </c>
      <c r="K42" s="49">
        <f t="shared" ref="K42" si="12">F42-J42</f>
        <v>33100</v>
      </c>
      <c r="L42" s="50">
        <f t="shared" si="10"/>
        <v>0.2744610281923715</v>
      </c>
      <c r="M42" s="24"/>
      <c r="N42" s="31"/>
    </row>
    <row r="43" spans="1:14" ht="24" customHeight="1">
      <c r="A43" s="25" t="s">
        <v>64</v>
      </c>
      <c r="B43" s="22" t="s">
        <v>29</v>
      </c>
      <c r="C43" s="21" t="s">
        <v>22</v>
      </c>
      <c r="D43" s="21">
        <v>1</v>
      </c>
      <c r="E43" s="26">
        <v>15000</v>
      </c>
      <c r="F43" s="26">
        <f t="shared" ref="F43:F46" si="13">E43*D43</f>
        <v>15000</v>
      </c>
      <c r="G43" s="45"/>
      <c r="H43" s="49">
        <v>1</v>
      </c>
      <c r="I43" s="49">
        <v>12000</v>
      </c>
      <c r="J43" s="49">
        <f t="shared" si="8"/>
        <v>12000</v>
      </c>
      <c r="K43" s="49">
        <f t="shared" si="9"/>
        <v>3000</v>
      </c>
      <c r="L43" s="50">
        <f t="shared" si="10"/>
        <v>0.2</v>
      </c>
      <c r="M43" s="24"/>
      <c r="N43" s="31"/>
    </row>
    <row r="44" spans="1:14" ht="24" customHeight="1">
      <c r="A44" s="25" t="s">
        <v>72</v>
      </c>
      <c r="B44" s="22" t="s">
        <v>96</v>
      </c>
      <c r="C44" s="21" t="s">
        <v>97</v>
      </c>
      <c r="D44" s="21">
        <v>8</v>
      </c>
      <c r="E44" s="26">
        <v>6000</v>
      </c>
      <c r="F44" s="26">
        <f t="shared" si="13"/>
        <v>48000</v>
      </c>
      <c r="G44" s="46" t="s">
        <v>98</v>
      </c>
      <c r="H44" s="49">
        <v>8</v>
      </c>
      <c r="I44" s="49">
        <v>4167</v>
      </c>
      <c r="J44" s="49">
        <f t="shared" ref="J44:J45" si="14">I44*H44</f>
        <v>33336</v>
      </c>
      <c r="K44" s="49">
        <f t="shared" ref="K44" si="15">F44-J44</f>
        <v>14664</v>
      </c>
      <c r="L44" s="50">
        <f t="shared" ref="L44" si="16">K44/F44</f>
        <v>0.30549999999999999</v>
      </c>
      <c r="M44" s="24"/>
      <c r="N44" s="31"/>
    </row>
    <row r="45" spans="1:14" ht="24" customHeight="1">
      <c r="A45" s="25" t="s">
        <v>81</v>
      </c>
      <c r="B45" s="22" t="s">
        <v>123</v>
      </c>
      <c r="C45" s="21" t="s">
        <v>22</v>
      </c>
      <c r="D45" s="21">
        <v>1</v>
      </c>
      <c r="E45" s="26">
        <v>98000</v>
      </c>
      <c r="F45" s="26">
        <f t="shared" si="13"/>
        <v>98000</v>
      </c>
      <c r="G45" s="46"/>
      <c r="H45" s="49">
        <v>1</v>
      </c>
      <c r="I45" s="49">
        <v>85000</v>
      </c>
      <c r="J45" s="49">
        <f t="shared" si="14"/>
        <v>85000</v>
      </c>
      <c r="K45" s="49">
        <f t="shared" ref="K45" si="17">F45-J45</f>
        <v>13000</v>
      </c>
      <c r="L45" s="50">
        <f t="shared" ref="L45" si="18">K45/F45</f>
        <v>0.1326530612244898</v>
      </c>
      <c r="M45" s="24"/>
      <c r="N45" s="31"/>
    </row>
    <row r="46" spans="1:14" ht="24" customHeight="1">
      <c r="A46" s="25" t="s">
        <v>91</v>
      </c>
      <c r="B46" s="22" t="s">
        <v>95</v>
      </c>
      <c r="C46" s="21" t="s">
        <v>22</v>
      </c>
      <c r="D46" s="21">
        <v>1</v>
      </c>
      <c r="E46" s="26">
        <v>18000</v>
      </c>
      <c r="F46" s="26">
        <f t="shared" si="13"/>
        <v>18000</v>
      </c>
      <c r="G46" s="45"/>
      <c r="H46" s="49">
        <v>1</v>
      </c>
      <c r="I46" s="49">
        <v>0</v>
      </c>
      <c r="J46" s="49">
        <f t="shared" ref="J46" si="19">I46*H46</f>
        <v>0</v>
      </c>
      <c r="K46" s="49">
        <f t="shared" ref="K46" si="20">F46-J46</f>
        <v>18000</v>
      </c>
      <c r="L46" s="50">
        <f t="shared" ref="L46" si="21">K46/F46</f>
        <v>1</v>
      </c>
      <c r="M46" s="24"/>
      <c r="N46" s="31"/>
    </row>
    <row r="47" spans="1:14" ht="24" customHeight="1">
      <c r="A47" s="25" t="s">
        <v>94</v>
      </c>
      <c r="B47" s="22" t="s">
        <v>79</v>
      </c>
      <c r="C47" s="21" t="s">
        <v>22</v>
      </c>
      <c r="D47" s="21">
        <v>1</v>
      </c>
      <c r="E47" s="26">
        <v>36000</v>
      </c>
      <c r="F47" s="26">
        <f t="shared" ref="F47:F48" si="22">E47*D47</f>
        <v>36000</v>
      </c>
      <c r="G47" s="45"/>
      <c r="H47" s="49">
        <v>1</v>
      </c>
      <c r="I47" s="49">
        <v>20000</v>
      </c>
      <c r="J47" s="49">
        <f t="shared" si="8"/>
        <v>20000</v>
      </c>
      <c r="K47" s="49">
        <f t="shared" si="9"/>
        <v>16000</v>
      </c>
      <c r="L47" s="50">
        <f t="shared" si="10"/>
        <v>0.44444444444444442</v>
      </c>
      <c r="M47" s="24"/>
      <c r="N47" s="31"/>
    </row>
    <row r="48" spans="1:14" ht="24" customHeight="1">
      <c r="A48" s="25" t="s">
        <v>122</v>
      </c>
      <c r="B48" s="22" t="s">
        <v>71</v>
      </c>
      <c r="C48" s="21" t="s">
        <v>22</v>
      </c>
      <c r="D48" s="21">
        <v>1</v>
      </c>
      <c r="E48" s="26">
        <v>8000</v>
      </c>
      <c r="F48" s="26">
        <f t="shared" si="22"/>
        <v>8000</v>
      </c>
      <c r="G48" s="45"/>
      <c r="H48" s="49">
        <v>1</v>
      </c>
      <c r="I48" s="49">
        <v>0</v>
      </c>
      <c r="J48" s="49">
        <f t="shared" si="8"/>
        <v>0</v>
      </c>
      <c r="K48" s="49">
        <f t="shared" si="9"/>
        <v>8000</v>
      </c>
      <c r="L48" s="50">
        <f t="shared" si="10"/>
        <v>1</v>
      </c>
      <c r="M48" s="24"/>
      <c r="N48" s="31"/>
    </row>
    <row r="49" spans="1:13" ht="24" customHeight="1">
      <c r="A49" s="25"/>
      <c r="B49" s="22" t="s">
        <v>34</v>
      </c>
      <c r="C49" s="21"/>
      <c r="D49" s="21"/>
      <c r="E49" s="26"/>
      <c r="F49" s="28">
        <f>SUM(F40:F48)</f>
        <v>434100</v>
      </c>
      <c r="G49" s="45"/>
      <c r="H49" s="49"/>
      <c r="I49" s="49"/>
      <c r="J49" s="49">
        <f>SUM(J40:J48)</f>
        <v>304336</v>
      </c>
      <c r="K49" s="49">
        <f t="shared" si="9"/>
        <v>129764</v>
      </c>
      <c r="L49" s="50">
        <f t="shared" si="10"/>
        <v>0.29892651462796593</v>
      </c>
      <c r="M49" s="24"/>
    </row>
    <row r="50" spans="1:13" ht="24" customHeight="1">
      <c r="A50" s="25"/>
      <c r="B50" s="22"/>
      <c r="C50" s="21"/>
      <c r="D50" s="21"/>
      <c r="E50" s="26"/>
      <c r="F50" s="26"/>
      <c r="G50" s="45"/>
      <c r="H50" s="49"/>
      <c r="I50" s="49"/>
      <c r="J50" s="49"/>
      <c r="K50" s="49"/>
      <c r="L50" s="50"/>
      <c r="M50" s="24"/>
    </row>
    <row r="51" spans="1:13" ht="24" customHeight="1">
      <c r="A51" s="25" t="s">
        <v>21</v>
      </c>
      <c r="B51" s="22" t="s">
        <v>26</v>
      </c>
      <c r="C51" s="21"/>
      <c r="D51" s="21"/>
      <c r="E51" s="26"/>
      <c r="F51" s="26"/>
      <c r="G51" s="45"/>
      <c r="H51" s="49"/>
      <c r="I51" s="49"/>
      <c r="J51" s="49"/>
      <c r="K51" s="49"/>
      <c r="L51" s="50"/>
      <c r="M51" s="24"/>
    </row>
    <row r="52" spans="1:13" ht="24" customHeight="1">
      <c r="A52" s="25" t="s">
        <v>65</v>
      </c>
      <c r="B52" s="22" t="s">
        <v>76</v>
      </c>
      <c r="C52" s="21" t="s">
        <v>36</v>
      </c>
      <c r="D52" s="21">
        <v>1</v>
      </c>
      <c r="E52" s="26">
        <v>56000</v>
      </c>
      <c r="F52" s="26">
        <f t="shared" ref="F52:F58" si="23">E52*D52</f>
        <v>56000</v>
      </c>
      <c r="G52" s="45"/>
      <c r="H52" s="49">
        <v>2</v>
      </c>
      <c r="I52" s="49">
        <v>23000</v>
      </c>
      <c r="J52" s="49">
        <f>I52*H52</f>
        <v>46000</v>
      </c>
      <c r="K52" s="49">
        <f>F52-J52</f>
        <v>10000</v>
      </c>
      <c r="L52" s="50">
        <f>K52/F52</f>
        <v>0.17857142857142858</v>
      </c>
      <c r="M52" s="32">
        <v>3</v>
      </c>
    </row>
    <row r="53" spans="1:13" ht="24" customHeight="1">
      <c r="A53" s="25" t="s">
        <v>66</v>
      </c>
      <c r="B53" s="22" t="s">
        <v>77</v>
      </c>
      <c r="C53" s="21" t="s">
        <v>36</v>
      </c>
      <c r="D53" s="21">
        <v>1</v>
      </c>
      <c r="E53" s="26">
        <v>20800</v>
      </c>
      <c r="F53" s="26">
        <f t="shared" si="23"/>
        <v>20800</v>
      </c>
      <c r="G53" s="45"/>
      <c r="H53" s="49">
        <v>2</v>
      </c>
      <c r="I53" s="49">
        <v>8000</v>
      </c>
      <c r="J53" s="49">
        <f t="shared" ref="J53" si="24">I53*H53</f>
        <v>16000</v>
      </c>
      <c r="K53" s="49">
        <f t="shared" ref="K53:K59" si="25">F53-J53</f>
        <v>4800</v>
      </c>
      <c r="L53" s="50">
        <f t="shared" ref="L53:L59" si="26">K53/F53</f>
        <v>0.23076923076923078</v>
      </c>
      <c r="M53" s="32">
        <v>2</v>
      </c>
    </row>
    <row r="54" spans="1:13" ht="24" customHeight="1">
      <c r="A54" s="25" t="s">
        <v>67</v>
      </c>
      <c r="B54" s="22" t="s">
        <v>78</v>
      </c>
      <c r="C54" s="21" t="s">
        <v>36</v>
      </c>
      <c r="D54" s="21">
        <v>1</v>
      </c>
      <c r="E54" s="26">
        <v>58000</v>
      </c>
      <c r="F54" s="26">
        <f t="shared" si="23"/>
        <v>58000</v>
      </c>
      <c r="G54" s="44"/>
      <c r="H54" s="49">
        <v>1</v>
      </c>
      <c r="I54" s="49">
        <v>40000</v>
      </c>
      <c r="J54" s="49">
        <f t="shared" ref="J54:J58" si="27">I54*H54</f>
        <v>40000</v>
      </c>
      <c r="K54" s="49">
        <f t="shared" ref="K54:K58" si="28">F54-J54</f>
        <v>18000</v>
      </c>
      <c r="L54" s="50">
        <f>K54/F54</f>
        <v>0.31034482758620691</v>
      </c>
      <c r="M54" s="24">
        <v>1</v>
      </c>
    </row>
    <row r="55" spans="1:13" ht="24" customHeight="1">
      <c r="A55" s="25" t="s">
        <v>68</v>
      </c>
      <c r="B55" s="22" t="s">
        <v>80</v>
      </c>
      <c r="C55" s="21" t="s">
        <v>36</v>
      </c>
      <c r="D55" s="21">
        <v>1</v>
      </c>
      <c r="E55" s="26">
        <v>45000</v>
      </c>
      <c r="F55" s="26">
        <f t="shared" si="23"/>
        <v>45000</v>
      </c>
      <c r="G55" s="46"/>
      <c r="H55" s="49">
        <v>1</v>
      </c>
      <c r="I55" s="49">
        <v>24500</v>
      </c>
      <c r="J55" s="49">
        <f t="shared" si="27"/>
        <v>24500</v>
      </c>
      <c r="K55" s="49">
        <f t="shared" si="28"/>
        <v>20500</v>
      </c>
      <c r="L55" s="50">
        <f>K55/F55</f>
        <v>0.45555555555555555</v>
      </c>
      <c r="M55" s="24">
        <v>1</v>
      </c>
    </row>
    <row r="56" spans="1:13" ht="24" customHeight="1">
      <c r="A56" s="25" t="s">
        <v>102</v>
      </c>
      <c r="B56" s="22" t="s">
        <v>105</v>
      </c>
      <c r="C56" s="21" t="s">
        <v>44</v>
      </c>
      <c r="D56" s="21">
        <v>90</v>
      </c>
      <c r="E56" s="26">
        <v>1150</v>
      </c>
      <c r="F56" s="26">
        <f t="shared" si="23"/>
        <v>103500</v>
      </c>
      <c r="G56" s="46"/>
      <c r="H56" s="49">
        <v>81</v>
      </c>
      <c r="I56" s="49">
        <v>1060</v>
      </c>
      <c r="J56" s="49">
        <f t="shared" ref="J56" si="29">I56*H56</f>
        <v>85860</v>
      </c>
      <c r="K56" s="49">
        <f t="shared" ref="K56" si="30">F56-J56</f>
        <v>17640</v>
      </c>
      <c r="L56" s="50">
        <f>K56/F56</f>
        <v>0.17043478260869566</v>
      </c>
      <c r="M56" s="24"/>
    </row>
    <row r="57" spans="1:13" ht="24" customHeight="1">
      <c r="A57" s="25" t="s">
        <v>103</v>
      </c>
      <c r="B57" s="22" t="s">
        <v>74</v>
      </c>
      <c r="C57" s="21" t="s">
        <v>36</v>
      </c>
      <c r="D57" s="21">
        <v>1</v>
      </c>
      <c r="E57" s="26">
        <v>20000</v>
      </c>
      <c r="F57" s="26">
        <f t="shared" si="23"/>
        <v>20000</v>
      </c>
      <c r="G57" s="45"/>
      <c r="H57" s="49">
        <v>6</v>
      </c>
      <c r="I57" s="49">
        <v>0</v>
      </c>
      <c r="J57" s="49">
        <f t="shared" si="27"/>
        <v>0</v>
      </c>
      <c r="K57" s="49">
        <f t="shared" si="28"/>
        <v>20000</v>
      </c>
      <c r="L57" s="50">
        <f t="shared" si="26"/>
        <v>1</v>
      </c>
      <c r="M57" s="24">
        <f>SUM(M52:M55)</f>
        <v>7</v>
      </c>
    </row>
    <row r="58" spans="1:13" ht="24" customHeight="1">
      <c r="A58" s="25" t="s">
        <v>104</v>
      </c>
      <c r="B58" s="22" t="s">
        <v>73</v>
      </c>
      <c r="C58" s="21" t="s">
        <v>36</v>
      </c>
      <c r="D58" s="21">
        <v>1</v>
      </c>
      <c r="E58" s="26">
        <v>135000</v>
      </c>
      <c r="F58" s="26">
        <f t="shared" si="23"/>
        <v>135000</v>
      </c>
      <c r="G58" s="45"/>
      <c r="H58" s="49">
        <v>7</v>
      </c>
      <c r="I58" s="49">
        <v>15000</v>
      </c>
      <c r="J58" s="49">
        <f t="shared" si="27"/>
        <v>105000</v>
      </c>
      <c r="K58" s="49">
        <f t="shared" si="28"/>
        <v>30000</v>
      </c>
      <c r="L58" s="50">
        <f t="shared" si="26"/>
        <v>0.22222222222222221</v>
      </c>
      <c r="M58" s="24"/>
    </row>
    <row r="59" spans="1:13" ht="24" customHeight="1">
      <c r="A59" s="25"/>
      <c r="B59" s="22" t="s">
        <v>33</v>
      </c>
      <c r="C59" s="21"/>
      <c r="D59" s="21"/>
      <c r="E59" s="26"/>
      <c r="F59" s="28">
        <f>SUM(F52:F58)</f>
        <v>438300</v>
      </c>
      <c r="G59" s="45"/>
      <c r="H59" s="49"/>
      <c r="I59" s="49"/>
      <c r="J59" s="51">
        <f>SUM(J52:J58)</f>
        <v>317360</v>
      </c>
      <c r="K59" s="51">
        <f t="shared" si="25"/>
        <v>120940</v>
      </c>
      <c r="L59" s="52">
        <f t="shared" si="26"/>
        <v>0.27592972849646363</v>
      </c>
      <c r="M59" s="24"/>
    </row>
    <row r="60" spans="1:13" ht="24" customHeight="1">
      <c r="A60" s="25"/>
      <c r="B60" s="22"/>
      <c r="C60" s="21"/>
      <c r="D60" s="21"/>
      <c r="E60" s="26"/>
      <c r="F60" s="26"/>
      <c r="G60" s="45"/>
      <c r="H60" s="49"/>
      <c r="I60" s="49"/>
      <c r="J60" s="49"/>
      <c r="K60" s="49"/>
      <c r="L60" s="50"/>
      <c r="M60" s="24"/>
    </row>
    <row r="61" spans="1:13" ht="24" customHeight="1">
      <c r="A61" s="25" t="s">
        <v>23</v>
      </c>
      <c r="B61" s="22" t="s">
        <v>84</v>
      </c>
      <c r="C61" s="21"/>
      <c r="D61" s="21"/>
      <c r="E61" s="26"/>
      <c r="F61" s="26"/>
      <c r="G61" s="45"/>
      <c r="H61" s="49"/>
      <c r="I61" s="49"/>
      <c r="J61" s="49"/>
      <c r="K61" s="49"/>
      <c r="L61" s="50"/>
      <c r="M61" s="24"/>
    </row>
    <row r="62" spans="1:13" ht="24" customHeight="1">
      <c r="A62" s="25" t="s">
        <v>157</v>
      </c>
      <c r="B62" s="22" t="s">
        <v>85</v>
      </c>
      <c r="C62" s="21" t="s">
        <v>44</v>
      </c>
      <c r="D62" s="21">
        <v>42</v>
      </c>
      <c r="E62" s="26">
        <v>15000</v>
      </c>
      <c r="F62" s="26">
        <f t="shared" ref="F62:F65" si="31">E62*D62</f>
        <v>630000</v>
      </c>
      <c r="G62" s="46"/>
      <c r="H62" s="49">
        <v>38</v>
      </c>
      <c r="I62" s="49">
        <v>13068</v>
      </c>
      <c r="J62" s="49">
        <f t="shared" ref="J62" si="32">I62*H62</f>
        <v>496584</v>
      </c>
      <c r="K62" s="49">
        <f t="shared" ref="K62" si="33">F62-J62</f>
        <v>133416</v>
      </c>
      <c r="L62" s="50">
        <f t="shared" ref="L62" si="34">K62/F62</f>
        <v>0.21177142857142858</v>
      </c>
      <c r="M62" s="24"/>
    </row>
    <row r="63" spans="1:13" ht="24" customHeight="1">
      <c r="A63" s="25" t="s">
        <v>132</v>
      </c>
      <c r="B63" s="22" t="s">
        <v>86</v>
      </c>
      <c r="C63" s="21" t="s">
        <v>36</v>
      </c>
      <c r="D63" s="21">
        <v>1</v>
      </c>
      <c r="E63" s="26">
        <v>35800</v>
      </c>
      <c r="F63" s="26">
        <f t="shared" si="31"/>
        <v>35800</v>
      </c>
      <c r="G63" s="46" t="s">
        <v>99</v>
      </c>
      <c r="H63" s="49">
        <v>1</v>
      </c>
      <c r="I63" s="49">
        <v>28000</v>
      </c>
      <c r="J63" s="49">
        <f t="shared" ref="J63:J65" si="35">I63*H63</f>
        <v>28000</v>
      </c>
      <c r="K63" s="49">
        <f t="shared" ref="K63:K66" si="36">F63-J63</f>
        <v>7800</v>
      </c>
      <c r="L63" s="50">
        <f t="shared" ref="L63:L66" si="37">K63/F63</f>
        <v>0.21787709497206703</v>
      </c>
      <c r="M63" s="24"/>
    </row>
    <row r="64" spans="1:13" ht="24" customHeight="1">
      <c r="A64" s="25" t="s">
        <v>133</v>
      </c>
      <c r="B64" s="22" t="s">
        <v>87</v>
      </c>
      <c r="C64" s="21" t="s">
        <v>36</v>
      </c>
      <c r="D64" s="21">
        <v>1</v>
      </c>
      <c r="E64" s="26">
        <v>62000</v>
      </c>
      <c r="F64" s="26">
        <f t="shared" si="31"/>
        <v>62000</v>
      </c>
      <c r="G64" s="46" t="s">
        <v>100</v>
      </c>
      <c r="H64" s="49">
        <v>1</v>
      </c>
      <c r="I64" s="49">
        <v>52000</v>
      </c>
      <c r="J64" s="49">
        <f t="shared" si="35"/>
        <v>52000</v>
      </c>
      <c r="K64" s="49">
        <f t="shared" si="36"/>
        <v>10000</v>
      </c>
      <c r="L64" s="50">
        <f t="shared" si="37"/>
        <v>0.16129032258064516</v>
      </c>
      <c r="M64" s="24"/>
    </row>
    <row r="65" spans="1:15" ht="24" customHeight="1">
      <c r="A65" s="25" t="s">
        <v>134</v>
      </c>
      <c r="B65" s="22" t="s">
        <v>88</v>
      </c>
      <c r="C65" s="21" t="s">
        <v>36</v>
      </c>
      <c r="D65" s="21">
        <v>1</v>
      </c>
      <c r="E65" s="26">
        <v>7200</v>
      </c>
      <c r="F65" s="26">
        <f t="shared" si="31"/>
        <v>7200</v>
      </c>
      <c r="G65" s="46"/>
      <c r="H65" s="49">
        <v>1</v>
      </c>
      <c r="I65" s="49">
        <v>0</v>
      </c>
      <c r="J65" s="49">
        <f t="shared" si="35"/>
        <v>0</v>
      </c>
      <c r="K65" s="49">
        <f t="shared" si="36"/>
        <v>7200</v>
      </c>
      <c r="L65" s="50">
        <f t="shared" si="37"/>
        <v>1</v>
      </c>
      <c r="M65" s="24"/>
    </row>
    <row r="66" spans="1:15" ht="24" customHeight="1">
      <c r="A66" s="25"/>
      <c r="B66" s="22" t="s">
        <v>158</v>
      </c>
      <c r="C66" s="21"/>
      <c r="D66" s="21"/>
      <c r="E66" s="26"/>
      <c r="F66" s="28">
        <f>SUM(F62:F65)</f>
        <v>735000</v>
      </c>
      <c r="G66" s="46"/>
      <c r="H66" s="49"/>
      <c r="I66" s="49"/>
      <c r="J66" s="49">
        <f>SUM(J62:J65)</f>
        <v>576584</v>
      </c>
      <c r="K66" s="49">
        <f t="shared" si="36"/>
        <v>158416</v>
      </c>
      <c r="L66" s="50">
        <f t="shared" si="37"/>
        <v>0.21553197278911565</v>
      </c>
      <c r="M66" s="24"/>
    </row>
    <row r="67" spans="1:15" ht="24" customHeight="1">
      <c r="A67" s="25"/>
      <c r="B67" s="22"/>
      <c r="C67" s="21"/>
      <c r="D67" s="21"/>
      <c r="E67" s="26"/>
      <c r="F67" s="26"/>
      <c r="G67" s="46"/>
      <c r="H67" s="49"/>
      <c r="I67" s="49"/>
      <c r="J67" s="51"/>
      <c r="K67" s="51"/>
      <c r="L67" s="52"/>
      <c r="M67" s="24"/>
    </row>
    <row r="68" spans="1:15" ht="24" customHeight="1">
      <c r="A68" s="25" t="s">
        <v>135</v>
      </c>
      <c r="B68" s="22" t="s">
        <v>30</v>
      </c>
      <c r="C68" s="21"/>
      <c r="D68" s="21"/>
      <c r="E68" s="26"/>
      <c r="F68" s="26"/>
      <c r="G68" s="44"/>
      <c r="H68" s="49"/>
      <c r="I68" s="49"/>
      <c r="J68" s="49"/>
      <c r="K68" s="49"/>
      <c r="L68" s="50"/>
      <c r="M68" s="24"/>
    </row>
    <row r="69" spans="1:15" ht="25.15" customHeight="1">
      <c r="A69" s="25" t="s">
        <v>136</v>
      </c>
      <c r="B69" s="23" t="s">
        <v>89</v>
      </c>
      <c r="C69" s="21" t="s">
        <v>44</v>
      </c>
      <c r="D69" s="21">
        <v>39</v>
      </c>
      <c r="E69" s="26">
        <v>9500</v>
      </c>
      <c r="F69" s="26">
        <f t="shared" ref="F69:F72" si="38">E69*D69</f>
        <v>370500</v>
      </c>
      <c r="G69" s="46"/>
      <c r="H69" s="49">
        <v>35</v>
      </c>
      <c r="I69" s="49">
        <v>7777</v>
      </c>
      <c r="J69" s="49">
        <f>I69*H69</f>
        <v>272195</v>
      </c>
      <c r="K69" s="49">
        <f t="shared" ref="K69:K71" si="39">F69-J69</f>
        <v>98305</v>
      </c>
      <c r="L69" s="50">
        <f t="shared" ref="L69" si="40">K69/F69</f>
        <v>0.26533063427800269</v>
      </c>
      <c r="M69" s="24"/>
    </row>
    <row r="70" spans="1:15" ht="25.15" customHeight="1">
      <c r="A70" s="25" t="s">
        <v>138</v>
      </c>
      <c r="B70" s="23" t="s">
        <v>90</v>
      </c>
      <c r="C70" s="21" t="s">
        <v>36</v>
      </c>
      <c r="D70" s="21">
        <v>1</v>
      </c>
      <c r="E70" s="26">
        <v>78500</v>
      </c>
      <c r="F70" s="26">
        <f t="shared" si="38"/>
        <v>78500</v>
      </c>
      <c r="G70" s="46" t="s">
        <v>100</v>
      </c>
      <c r="H70" s="49">
        <v>1</v>
      </c>
      <c r="I70" s="49">
        <v>47000</v>
      </c>
      <c r="J70" s="49">
        <f>I70*H70</f>
        <v>47000</v>
      </c>
      <c r="K70" s="49">
        <f t="shared" si="39"/>
        <v>31500</v>
      </c>
      <c r="L70" s="50">
        <f t="shared" ref="L70:L71" si="41">K70/F70</f>
        <v>0.40127388535031849</v>
      </c>
      <c r="M70" s="24"/>
    </row>
    <row r="71" spans="1:15" ht="24" customHeight="1">
      <c r="A71" s="25" t="s">
        <v>139</v>
      </c>
      <c r="B71" s="9" t="s">
        <v>164</v>
      </c>
      <c r="C71" s="21" t="s">
        <v>36</v>
      </c>
      <c r="D71" s="21">
        <v>1</v>
      </c>
      <c r="E71" s="13">
        <v>65000</v>
      </c>
      <c r="F71" s="26">
        <f t="shared" si="38"/>
        <v>65000</v>
      </c>
      <c r="G71" s="44" t="s">
        <v>165</v>
      </c>
      <c r="H71" s="49">
        <v>1</v>
      </c>
      <c r="I71" s="49">
        <v>58000</v>
      </c>
      <c r="J71" s="49">
        <f>I71*H71</f>
        <v>58000</v>
      </c>
      <c r="K71" s="49">
        <f t="shared" ref="K71" si="42">F71-J71</f>
        <v>7000</v>
      </c>
      <c r="L71" s="50">
        <f t="shared" si="41"/>
        <v>0.1076923076923077</v>
      </c>
      <c r="M71" s="24"/>
    </row>
    <row r="72" spans="1:15" ht="24" customHeight="1">
      <c r="A72" s="25" t="s">
        <v>137</v>
      </c>
      <c r="B72" s="23" t="s">
        <v>92</v>
      </c>
      <c r="C72" s="21" t="s">
        <v>36</v>
      </c>
      <c r="D72" s="21">
        <v>1</v>
      </c>
      <c r="E72" s="26">
        <v>30000</v>
      </c>
      <c r="F72" s="26">
        <f>E72*D72</f>
        <v>30000</v>
      </c>
      <c r="G72" s="44"/>
      <c r="H72" s="49">
        <v>1</v>
      </c>
      <c r="I72" s="49">
        <v>25850</v>
      </c>
      <c r="J72" s="49">
        <f>I72*H72</f>
        <v>25850</v>
      </c>
      <c r="K72" s="49">
        <f>F72-J72</f>
        <v>4150</v>
      </c>
      <c r="L72" s="50">
        <f>K72/F72</f>
        <v>0.13833333333333334</v>
      </c>
      <c r="M72" s="24"/>
    </row>
    <row r="73" spans="1:15" ht="24" customHeight="1">
      <c r="A73" s="25" t="s">
        <v>163</v>
      </c>
      <c r="B73" s="23" t="s">
        <v>93</v>
      </c>
      <c r="C73" s="21" t="s">
        <v>36</v>
      </c>
      <c r="D73" s="21">
        <v>1</v>
      </c>
      <c r="E73" s="42">
        <v>15000</v>
      </c>
      <c r="F73" s="39">
        <f>E73*D73</f>
        <v>15000</v>
      </c>
      <c r="G73" s="44"/>
      <c r="H73" s="49">
        <v>1</v>
      </c>
      <c r="I73" s="49">
        <v>8750</v>
      </c>
      <c r="J73" s="49">
        <f>I73*H73</f>
        <v>8750</v>
      </c>
      <c r="K73" s="49">
        <f>F73-J73</f>
        <v>6250</v>
      </c>
      <c r="L73" s="50">
        <f>K73/F73</f>
        <v>0.41666666666666669</v>
      </c>
      <c r="M73" s="24"/>
    </row>
    <row r="74" spans="1:15" ht="24" customHeight="1">
      <c r="A74" s="25"/>
      <c r="B74" s="22" t="s">
        <v>159</v>
      </c>
      <c r="C74" s="21"/>
      <c r="D74" s="21"/>
      <c r="E74" s="26"/>
      <c r="F74" s="28">
        <f>SUM(F69:F73)</f>
        <v>559000</v>
      </c>
      <c r="G74" s="44"/>
      <c r="H74" s="49"/>
      <c r="I74" s="49"/>
      <c r="J74" s="51">
        <f>SUM(J69:J73)</f>
        <v>411795</v>
      </c>
      <c r="K74" s="49">
        <f t="shared" ref="K72:K74" si="43">F74-J74</f>
        <v>147205</v>
      </c>
      <c r="L74" s="50">
        <f t="shared" ref="L72:L74" si="44">K74/F74</f>
        <v>0.26333631484794273</v>
      </c>
      <c r="M74" s="24"/>
    </row>
    <row r="75" spans="1:15" ht="22.15" customHeight="1">
      <c r="A75" s="25"/>
      <c r="B75" s="27"/>
      <c r="C75" s="21"/>
      <c r="D75" s="21"/>
      <c r="E75" s="26"/>
      <c r="F75" s="26"/>
      <c r="G75" s="45"/>
      <c r="H75" s="49"/>
      <c r="I75" s="49"/>
      <c r="J75" s="51"/>
      <c r="K75" s="51"/>
      <c r="L75" s="52"/>
      <c r="M75" s="40"/>
      <c r="N75" s="41"/>
      <c r="O75" s="41"/>
    </row>
    <row r="76" spans="1:15" ht="22.15" customHeight="1">
      <c r="A76" s="25" t="s">
        <v>140</v>
      </c>
      <c r="B76" s="22" t="s">
        <v>115</v>
      </c>
      <c r="C76" s="21"/>
      <c r="D76" s="21"/>
      <c r="E76" s="26"/>
      <c r="F76" s="26"/>
      <c r="G76" s="45"/>
      <c r="H76" s="49"/>
      <c r="I76" s="49"/>
      <c r="J76" s="51"/>
      <c r="K76" s="51"/>
      <c r="L76" s="52"/>
      <c r="M76" s="40"/>
      <c r="N76" s="41"/>
      <c r="O76" s="41"/>
    </row>
    <row r="77" spans="1:15" ht="22.15" customHeight="1">
      <c r="A77" s="25" t="s">
        <v>141</v>
      </c>
      <c r="B77" s="22" t="s">
        <v>116</v>
      </c>
      <c r="C77" s="21" t="s">
        <v>117</v>
      </c>
      <c r="D77" s="21">
        <v>3520</v>
      </c>
      <c r="E77" s="26">
        <v>156</v>
      </c>
      <c r="F77" s="26">
        <f t="shared" ref="F77:F82" si="45">E77*D77</f>
        <v>549120</v>
      </c>
      <c r="G77" s="45"/>
      <c r="H77" s="49">
        <v>3200</v>
      </c>
      <c r="I77" s="49">
        <v>120</v>
      </c>
      <c r="J77" s="49">
        <f t="shared" ref="J77:J82" si="46">I77*H77</f>
        <v>384000</v>
      </c>
      <c r="K77" s="49">
        <f t="shared" ref="K77" si="47">F77-J77</f>
        <v>165120</v>
      </c>
      <c r="L77" s="50">
        <f t="shared" ref="L77" si="48">K77/F77</f>
        <v>0.30069930069930068</v>
      </c>
      <c r="M77" s="49"/>
      <c r="N77" s="41"/>
      <c r="O77" s="41"/>
    </row>
    <row r="78" spans="1:15" ht="22.15" customHeight="1">
      <c r="A78" s="25" t="s">
        <v>142</v>
      </c>
      <c r="B78" s="22" t="s">
        <v>118</v>
      </c>
      <c r="C78" s="21" t="s">
        <v>36</v>
      </c>
      <c r="D78" s="21">
        <v>1</v>
      </c>
      <c r="E78" s="26">
        <v>256000</v>
      </c>
      <c r="F78" s="26">
        <f t="shared" si="45"/>
        <v>256000</v>
      </c>
      <c r="G78" s="45"/>
      <c r="H78" s="49">
        <v>10</v>
      </c>
      <c r="I78" s="49">
        <v>18000</v>
      </c>
      <c r="J78" s="49">
        <f t="shared" si="46"/>
        <v>180000</v>
      </c>
      <c r="K78" s="49">
        <f t="shared" ref="K78" si="49">F78-J78</f>
        <v>76000</v>
      </c>
      <c r="L78" s="50">
        <f t="shared" ref="L78" si="50">K78/F78</f>
        <v>0.296875</v>
      </c>
      <c r="M78" s="49"/>
      <c r="N78" s="41"/>
      <c r="O78" s="41"/>
    </row>
    <row r="79" spans="1:15" ht="22.15" customHeight="1">
      <c r="A79" s="25" t="s">
        <v>143</v>
      </c>
      <c r="B79" s="22" t="s">
        <v>119</v>
      </c>
      <c r="C79" s="21" t="s">
        <v>44</v>
      </c>
      <c r="D79" s="21">
        <v>178</v>
      </c>
      <c r="E79" s="26">
        <v>4100</v>
      </c>
      <c r="F79" s="26">
        <f t="shared" si="45"/>
        <v>729800</v>
      </c>
      <c r="G79" s="45"/>
      <c r="H79" s="49">
        <v>162</v>
      </c>
      <c r="I79" s="49">
        <v>3200</v>
      </c>
      <c r="J79" s="49">
        <f t="shared" si="46"/>
        <v>518400</v>
      </c>
      <c r="K79" s="49">
        <f t="shared" ref="K79" si="51">F79-J79</f>
        <v>211400</v>
      </c>
      <c r="L79" s="50">
        <f t="shared" ref="L79" si="52">K79/F79</f>
        <v>0.28966840230200053</v>
      </c>
      <c r="M79" s="49"/>
      <c r="N79" s="41"/>
      <c r="O79" s="41"/>
    </row>
    <row r="80" spans="1:15" ht="22.15" customHeight="1">
      <c r="A80" s="25" t="s">
        <v>144</v>
      </c>
      <c r="B80" s="22" t="s">
        <v>120</v>
      </c>
      <c r="C80" s="21" t="s">
        <v>121</v>
      </c>
      <c r="D80" s="21">
        <v>42</v>
      </c>
      <c r="E80" s="26">
        <v>3200</v>
      </c>
      <c r="F80" s="26">
        <f t="shared" si="45"/>
        <v>134400</v>
      </c>
      <c r="G80" s="45"/>
      <c r="H80" s="49">
        <v>38</v>
      </c>
      <c r="I80" s="49">
        <v>2500</v>
      </c>
      <c r="J80" s="49">
        <f t="shared" si="46"/>
        <v>95000</v>
      </c>
      <c r="K80" s="49">
        <f t="shared" ref="K80" si="53">F80-J80</f>
        <v>39400</v>
      </c>
      <c r="L80" s="50">
        <f t="shared" ref="L80" si="54">K80/F80</f>
        <v>0.29315476190476192</v>
      </c>
      <c r="M80" s="49"/>
      <c r="N80" s="41"/>
      <c r="O80" s="41"/>
    </row>
    <row r="81" spans="1:15" ht="22.15" customHeight="1">
      <c r="A81" s="25" t="s">
        <v>145</v>
      </c>
      <c r="B81" s="22" t="s">
        <v>124</v>
      </c>
      <c r="C81" s="21" t="s">
        <v>36</v>
      </c>
      <c r="D81" s="21">
        <v>1</v>
      </c>
      <c r="E81" s="26">
        <v>48000</v>
      </c>
      <c r="F81" s="26">
        <f t="shared" si="45"/>
        <v>48000</v>
      </c>
      <c r="G81" s="45"/>
      <c r="H81" s="49">
        <v>1</v>
      </c>
      <c r="I81" s="49">
        <v>45000</v>
      </c>
      <c r="J81" s="49">
        <f t="shared" si="46"/>
        <v>45000</v>
      </c>
      <c r="K81" s="49">
        <f t="shared" ref="K81" si="55">F81-J81</f>
        <v>3000</v>
      </c>
      <c r="L81" s="50">
        <f t="shared" ref="L81" si="56">K81/F81</f>
        <v>6.25E-2</v>
      </c>
      <c r="M81" s="49"/>
      <c r="N81" s="41"/>
      <c r="O81" s="41"/>
    </row>
    <row r="82" spans="1:15" ht="22.15" customHeight="1">
      <c r="A82" s="25" t="s">
        <v>146</v>
      </c>
      <c r="B82" s="22" t="s">
        <v>125</v>
      </c>
      <c r="C82" s="21" t="s">
        <v>121</v>
      </c>
      <c r="D82" s="21">
        <v>320</v>
      </c>
      <c r="E82" s="26">
        <v>280</v>
      </c>
      <c r="F82" s="26">
        <f t="shared" si="45"/>
        <v>89600</v>
      </c>
      <c r="G82" s="45"/>
      <c r="H82" s="49">
        <v>1</v>
      </c>
      <c r="I82" s="49">
        <v>80000</v>
      </c>
      <c r="J82" s="9">
        <f t="shared" si="46"/>
        <v>80000</v>
      </c>
      <c r="K82" s="49">
        <f t="shared" ref="K82" si="57">F82-J82</f>
        <v>9600</v>
      </c>
      <c r="L82" s="50">
        <f t="shared" ref="L82:L83" si="58">K82/F82</f>
        <v>0.10714285714285714</v>
      </c>
      <c r="M82" s="40"/>
      <c r="N82" s="41"/>
      <c r="O82" s="41"/>
    </row>
    <row r="83" spans="1:15" ht="22.15" customHeight="1">
      <c r="A83" s="25"/>
      <c r="B83" s="22" t="s">
        <v>160</v>
      </c>
      <c r="C83" s="21"/>
      <c r="D83" s="21"/>
      <c r="E83" s="26"/>
      <c r="F83" s="28">
        <f>SUM(F77:F82)</f>
        <v>1806920</v>
      </c>
      <c r="G83" s="45"/>
      <c r="H83" s="49"/>
      <c r="I83" s="49"/>
      <c r="J83" s="51">
        <f>SUM(J77:J82)</f>
        <v>1302400</v>
      </c>
      <c r="K83" s="49">
        <f>F83-J83</f>
        <v>504520</v>
      </c>
      <c r="L83" s="50">
        <f t="shared" si="58"/>
        <v>0.2792154605627255</v>
      </c>
      <c r="M83" s="40"/>
      <c r="N83" s="41"/>
      <c r="O83" s="41"/>
    </row>
    <row r="84" spans="1:15" ht="22.15" customHeight="1">
      <c r="A84" s="25"/>
      <c r="B84" s="27"/>
      <c r="C84" s="21"/>
      <c r="D84" s="21"/>
      <c r="E84" s="26"/>
      <c r="F84" s="26"/>
      <c r="G84" s="45"/>
      <c r="H84" s="49"/>
      <c r="I84" s="49"/>
      <c r="J84" s="51"/>
      <c r="K84" s="51"/>
      <c r="L84" s="52"/>
      <c r="M84" s="40"/>
      <c r="N84" s="41"/>
      <c r="O84" s="41"/>
    </row>
    <row r="85" spans="1:15" ht="24" customHeight="1">
      <c r="A85" s="25" t="s">
        <v>147</v>
      </c>
      <c r="B85" s="22" t="s">
        <v>35</v>
      </c>
      <c r="C85" s="21"/>
      <c r="D85" s="21"/>
      <c r="E85" s="26"/>
      <c r="F85" s="26"/>
      <c r="G85" s="45"/>
      <c r="H85" s="49"/>
      <c r="I85" s="49"/>
      <c r="J85" s="49"/>
      <c r="K85" s="49"/>
      <c r="L85" s="50"/>
      <c r="M85" s="24"/>
    </row>
    <row r="86" spans="1:15" ht="24" customHeight="1">
      <c r="A86" s="25" t="s">
        <v>148</v>
      </c>
      <c r="B86" s="22" t="s">
        <v>107</v>
      </c>
      <c r="C86" s="21" t="s">
        <v>44</v>
      </c>
      <c r="D86" s="21">
        <v>90</v>
      </c>
      <c r="E86" s="26">
        <v>1100</v>
      </c>
      <c r="F86" s="26">
        <f t="shared" ref="F86:F87" si="59">E86*D86</f>
        <v>99000</v>
      </c>
      <c r="G86" s="46"/>
      <c r="H86" s="49">
        <v>81</v>
      </c>
      <c r="I86" s="49">
        <v>864</v>
      </c>
      <c r="J86" s="49">
        <f>I86*H86</f>
        <v>69984</v>
      </c>
      <c r="K86" s="49">
        <f>F86-J86</f>
        <v>29016</v>
      </c>
      <c r="L86" s="50">
        <f t="shared" ref="L86" si="60">K86/F86</f>
        <v>0.29309090909090907</v>
      </c>
      <c r="M86" s="24"/>
    </row>
    <row r="87" spans="1:15" ht="24" customHeight="1">
      <c r="A87" s="25" t="s">
        <v>149</v>
      </c>
      <c r="B87" s="22" t="s">
        <v>75</v>
      </c>
      <c r="C87" s="21" t="s">
        <v>44</v>
      </c>
      <c r="D87" s="21">
        <v>90</v>
      </c>
      <c r="E87" s="26">
        <v>2427</v>
      </c>
      <c r="F87" s="26">
        <f t="shared" si="59"/>
        <v>218430</v>
      </c>
      <c r="G87" s="46"/>
      <c r="H87" s="49">
        <v>81</v>
      </c>
      <c r="I87" s="49">
        <v>2037</v>
      </c>
      <c r="J87" s="49">
        <f>I87*H87</f>
        <v>164997</v>
      </c>
      <c r="K87" s="49">
        <f>F87-J87</f>
        <v>53433</v>
      </c>
      <c r="L87" s="50">
        <f t="shared" ref="L87" si="61">K87/F87</f>
        <v>0.24462299134734239</v>
      </c>
      <c r="M87" s="24"/>
    </row>
    <row r="88" spans="1:15" ht="24" customHeight="1">
      <c r="A88" s="25" t="s">
        <v>150</v>
      </c>
      <c r="B88" s="22" t="s">
        <v>106</v>
      </c>
      <c r="C88" s="21" t="s">
        <v>31</v>
      </c>
      <c r="D88" s="21">
        <v>22</v>
      </c>
      <c r="E88" s="26">
        <v>800</v>
      </c>
      <c r="F88" s="26">
        <f t="shared" ref="F88" si="62">E88*D88</f>
        <v>17600</v>
      </c>
      <c r="G88" s="45"/>
      <c r="H88" s="49">
        <v>22</v>
      </c>
      <c r="I88" s="49">
        <v>650</v>
      </c>
      <c r="J88" s="49">
        <f>I88*H88</f>
        <v>14300</v>
      </c>
      <c r="K88" s="49">
        <f>F88-J88</f>
        <v>3300</v>
      </c>
      <c r="L88" s="50">
        <f t="shared" ref="L88" si="63">K88/F88</f>
        <v>0.1875</v>
      </c>
      <c r="M88" s="24"/>
    </row>
    <row r="89" spans="1:15" ht="24" customHeight="1">
      <c r="A89" s="25"/>
      <c r="B89" s="22" t="s">
        <v>162</v>
      </c>
      <c r="C89" s="21"/>
      <c r="D89" s="21"/>
      <c r="E89" s="26"/>
      <c r="F89" s="28">
        <f>SUM(F86:F88)</f>
        <v>335030</v>
      </c>
      <c r="G89" s="45"/>
      <c r="H89" s="49"/>
      <c r="I89" s="49"/>
      <c r="J89" s="49">
        <f>SUM(J86:J88)</f>
        <v>249281</v>
      </c>
      <c r="K89" s="49">
        <f>F89-J89</f>
        <v>85749</v>
      </c>
      <c r="L89" s="50">
        <f t="shared" ref="L89" si="64">K89/F89</f>
        <v>0.25594424379906278</v>
      </c>
      <c r="M89" s="24"/>
    </row>
    <row r="90" spans="1:15" ht="24" customHeight="1">
      <c r="A90" s="25"/>
      <c r="B90" s="22"/>
      <c r="C90" s="21"/>
      <c r="D90" s="21"/>
      <c r="E90" s="26"/>
      <c r="F90" s="26"/>
      <c r="G90" s="45"/>
      <c r="H90" s="49"/>
      <c r="I90" s="49"/>
      <c r="J90" s="51"/>
      <c r="K90" s="49"/>
      <c r="L90" s="50"/>
      <c r="M90" s="24"/>
    </row>
    <row r="91" spans="1:15" ht="24" customHeight="1">
      <c r="A91" s="25" t="s">
        <v>151</v>
      </c>
      <c r="B91" s="22" t="s">
        <v>42</v>
      </c>
      <c r="C91" s="21"/>
      <c r="D91" s="21"/>
      <c r="E91" s="26"/>
      <c r="F91" s="26"/>
      <c r="G91" s="45"/>
      <c r="H91" s="49"/>
      <c r="I91" s="49"/>
      <c r="J91" s="49"/>
      <c r="K91" s="49"/>
      <c r="L91" s="50"/>
      <c r="M91" s="24"/>
    </row>
    <row r="92" spans="1:15" ht="24" customHeight="1">
      <c r="A92" s="25" t="s">
        <v>152</v>
      </c>
      <c r="B92" s="23" t="s">
        <v>101</v>
      </c>
      <c r="C92" s="21" t="s">
        <v>36</v>
      </c>
      <c r="D92" s="21">
        <v>1</v>
      </c>
      <c r="E92" s="38">
        <v>26000</v>
      </c>
      <c r="F92" s="39">
        <f>D92*E92</f>
        <v>26000</v>
      </c>
      <c r="G92" s="44"/>
      <c r="H92" s="49">
        <v>35</v>
      </c>
      <c r="I92" s="49">
        <v>539</v>
      </c>
      <c r="J92" s="49">
        <f t="shared" ref="J92" si="65">I92*H92</f>
        <v>18865</v>
      </c>
      <c r="K92" s="49">
        <f t="shared" ref="K92" si="66">F92-J92</f>
        <v>7135</v>
      </c>
      <c r="L92" s="50">
        <f t="shared" ref="L92" si="67">K92/F92</f>
        <v>0.27442307692307694</v>
      </c>
      <c r="M92" s="24"/>
    </row>
    <row r="93" spans="1:15" ht="24" customHeight="1">
      <c r="A93" s="25" t="s">
        <v>153</v>
      </c>
      <c r="B93" s="23" t="s">
        <v>108</v>
      </c>
      <c r="C93" s="21" t="s">
        <v>22</v>
      </c>
      <c r="D93" s="33">
        <v>1</v>
      </c>
      <c r="E93" s="26">
        <v>13500</v>
      </c>
      <c r="F93" s="26">
        <f t="shared" ref="F93:F96" si="68">E93*D93</f>
        <v>13500</v>
      </c>
      <c r="G93" s="45"/>
      <c r="H93" s="49">
        <v>1</v>
      </c>
      <c r="I93" s="49">
        <v>10800</v>
      </c>
      <c r="J93" s="49">
        <f t="shared" ref="J93:J94" si="69">I93*H93</f>
        <v>10800</v>
      </c>
      <c r="K93" s="49">
        <f t="shared" ref="K93:K94" si="70">F93-J93</f>
        <v>2700</v>
      </c>
      <c r="L93" s="50">
        <f t="shared" ref="L93:L94" si="71">K93/F93</f>
        <v>0.2</v>
      </c>
      <c r="M93" s="24"/>
    </row>
    <row r="94" spans="1:15" ht="24" customHeight="1">
      <c r="A94" s="25" t="s">
        <v>154</v>
      </c>
      <c r="B94" s="23" t="s">
        <v>109</v>
      </c>
      <c r="C94" s="21" t="s">
        <v>22</v>
      </c>
      <c r="D94" s="33">
        <v>1</v>
      </c>
      <c r="E94" s="26">
        <v>12000</v>
      </c>
      <c r="F94" s="26">
        <f t="shared" si="68"/>
        <v>12000</v>
      </c>
      <c r="G94" s="45"/>
      <c r="H94" s="49">
        <v>1</v>
      </c>
      <c r="I94" s="49">
        <v>7500</v>
      </c>
      <c r="J94" s="49">
        <f t="shared" si="69"/>
        <v>7500</v>
      </c>
      <c r="K94" s="49">
        <f t="shared" si="70"/>
        <v>4500</v>
      </c>
      <c r="L94" s="50">
        <f t="shared" si="71"/>
        <v>0.375</v>
      </c>
      <c r="M94" s="24"/>
    </row>
    <row r="95" spans="1:15" ht="29.45" customHeight="1">
      <c r="A95" s="25" t="s">
        <v>155</v>
      </c>
      <c r="B95" s="23" t="s">
        <v>126</v>
      </c>
      <c r="C95" s="21" t="s">
        <v>22</v>
      </c>
      <c r="D95" s="33">
        <v>1</v>
      </c>
      <c r="E95" s="26">
        <v>28000</v>
      </c>
      <c r="F95" s="26">
        <f t="shared" si="68"/>
        <v>28000</v>
      </c>
      <c r="G95" s="45"/>
      <c r="H95" s="49">
        <v>1</v>
      </c>
      <c r="I95" s="49"/>
      <c r="J95" s="49">
        <f t="shared" ref="J95:J96" si="72">I95*H95</f>
        <v>0</v>
      </c>
      <c r="K95" s="49">
        <f t="shared" ref="K95:K96" si="73">F95-J95</f>
        <v>28000</v>
      </c>
      <c r="L95" s="50">
        <f t="shared" ref="L95:L96" si="74">K95/F95</f>
        <v>1</v>
      </c>
      <c r="M95" s="24"/>
    </row>
    <row r="96" spans="1:15" ht="24" customHeight="1">
      <c r="A96" s="25" t="s">
        <v>156</v>
      </c>
      <c r="B96" s="23" t="s">
        <v>60</v>
      </c>
      <c r="C96" s="21" t="s">
        <v>22</v>
      </c>
      <c r="D96" s="33">
        <v>1</v>
      </c>
      <c r="E96" s="26">
        <v>45000</v>
      </c>
      <c r="F96" s="26">
        <f t="shared" si="68"/>
        <v>45000</v>
      </c>
      <c r="G96" s="45"/>
      <c r="H96" s="49">
        <v>1</v>
      </c>
      <c r="I96" s="49"/>
      <c r="J96" s="49">
        <f t="shared" si="72"/>
        <v>0</v>
      </c>
      <c r="K96" s="49">
        <f t="shared" si="73"/>
        <v>45000</v>
      </c>
      <c r="L96" s="50">
        <f t="shared" si="74"/>
        <v>1</v>
      </c>
      <c r="M96" s="24"/>
    </row>
    <row r="97" spans="1:13" ht="24" customHeight="1">
      <c r="A97" s="25"/>
      <c r="B97" s="22" t="s">
        <v>161</v>
      </c>
      <c r="C97" s="21"/>
      <c r="D97" s="21"/>
      <c r="E97" s="26"/>
      <c r="F97" s="28">
        <f>SUM(F92:F96)</f>
        <v>124500</v>
      </c>
      <c r="G97" s="45"/>
      <c r="H97" s="49"/>
      <c r="I97" s="49"/>
      <c r="J97" s="49">
        <f>SUM(J92:J96)</f>
        <v>37165</v>
      </c>
      <c r="K97" s="49">
        <f t="shared" ref="K97" si="75">F97-J97</f>
        <v>87335</v>
      </c>
      <c r="L97" s="50">
        <f t="shared" ref="L97" si="76">K97/F97</f>
        <v>0.70148594377510043</v>
      </c>
      <c r="M97" s="24"/>
    </row>
    <row r="98" spans="1:13" ht="24" customHeight="1">
      <c r="A98" s="25"/>
      <c r="B98" s="22"/>
      <c r="C98" s="21"/>
      <c r="D98" s="21"/>
      <c r="E98" s="26"/>
      <c r="F98" s="26"/>
      <c r="G98" s="45"/>
      <c r="H98" s="49"/>
      <c r="I98" s="49"/>
      <c r="J98" s="49"/>
      <c r="K98" s="49"/>
      <c r="L98" s="50"/>
      <c r="M98" s="24"/>
    </row>
    <row r="99" spans="1:13">
      <c r="H99" s="24"/>
      <c r="J99" s="24"/>
      <c r="K99" s="24"/>
      <c r="L99" s="24"/>
      <c r="M99" s="24"/>
    </row>
    <row r="100" spans="1:13">
      <c r="H100" s="24"/>
      <c r="J100" s="24"/>
      <c r="K100" s="24"/>
      <c r="L100" s="24"/>
      <c r="M100" s="24"/>
    </row>
    <row r="101" spans="1:13">
      <c r="H101" s="24"/>
      <c r="J101" s="24"/>
      <c r="K101" s="24"/>
      <c r="L101" s="24"/>
      <c r="M101" s="24"/>
    </row>
    <row r="102" spans="1:13">
      <c r="H102" s="24"/>
      <c r="J102" s="24"/>
      <c r="K102" s="24"/>
      <c r="L102" s="24"/>
      <c r="M102" s="24"/>
    </row>
  </sheetData>
  <mergeCells count="10">
    <mergeCell ref="A2:G2"/>
    <mergeCell ref="C3:E3"/>
    <mergeCell ref="F3:G3"/>
    <mergeCell ref="C4:E4"/>
    <mergeCell ref="F4:G4"/>
    <mergeCell ref="C5:E5"/>
    <mergeCell ref="F5:G5"/>
    <mergeCell ref="C6:E6"/>
    <mergeCell ref="F6:G6"/>
    <mergeCell ref="A3:B6"/>
  </mergeCells>
  <phoneticPr fontId="8" type="noConversion"/>
  <printOptions horizontalCentered="1"/>
  <pageMargins left="0.59055118110236215" right="0.59055118110236215" top="0.98425196850393704" bottom="0.98425196850393704" header="0.59055118110236215" footer="0.59055118110236215"/>
  <pageSetup paperSize="9" scale="80" fitToHeight="0" orientation="portrait" r:id="rId1"/>
  <headerFooter alignWithMargins="0">
    <oddFooter>&amp;L&amp;F
.&amp;C&amp;P/&amp;N&amp;R&amp;D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3、7F裝修工程</vt:lpstr>
      <vt:lpstr>'3、7F裝修工程'!Print_Area</vt:lpstr>
      <vt:lpstr>'3、7F裝修工程'!Print_Titles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jambo</dc:creator>
  <cp:lastModifiedBy>Design02</cp:lastModifiedBy>
  <cp:lastPrinted>2026-03-03T06:43:52Z</cp:lastPrinted>
  <dcterms:created xsi:type="dcterms:W3CDTF">2014-10-01T05:47:05Z</dcterms:created>
  <dcterms:modified xsi:type="dcterms:W3CDTF">2026-09-04T08:08:42Z</dcterms:modified>
</cp:coreProperties>
</file>
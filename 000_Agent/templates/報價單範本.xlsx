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Tu-agent\000_Agent\templates\"/>
    </mc:Choice>
  </mc:AlternateContent>
  <xr:revisionPtr revIDLastSave="0" documentId="13_ncr:1_{55F551B3-C5C6-4451-96A2-B4AB131CF9DF}" xr6:coauthVersionLast="47" xr6:coauthVersionMax="47" xr10:uidLastSave="{00000000-0000-0000-0000-000000000000}"/>
  <bookViews>
    <workbookView xWindow="28680" yWindow="-120" windowWidth="29040" windowHeight="15720" tabRatio="656" xr2:uid="{00000000-000D-0000-FFFF-FFFF00000000}"/>
  </bookViews>
  <sheets>
    <sheet name="報價單" sheetId="23" r:id="rId1"/>
    <sheet name="數量表" sheetId="35" r:id="rId2"/>
    <sheet name="機電空白標單" sheetId="36" r:id="rId3"/>
  </sheets>
  <definedNames>
    <definedName name="_xlnm.Print_Area" localSheetId="0">報價單!$A$1:$G$153</definedName>
    <definedName name="_xlnm.Print_Area" localSheetId="2">機電空白標單!$A$1:$G$38</definedName>
    <definedName name="_xlnm.Print_Titles" localSheetId="0">報價單!$1:$8</definedName>
    <definedName name="_xlnm.Print_Titles" localSheetId="2">機電空白標單!$1:$8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3" l="1"/>
  <c r="K26" i="23" s="1"/>
  <c r="H26" i="23"/>
  <c r="K124" i="23"/>
  <c r="L124" i="23" s="1"/>
  <c r="J123" i="23"/>
  <c r="J124" i="23"/>
  <c r="F152" i="23"/>
  <c r="J134" i="23"/>
  <c r="J133" i="23"/>
  <c r="J132" i="23"/>
  <c r="F134" i="23"/>
  <c r="F133" i="23"/>
  <c r="F132" i="23"/>
  <c r="K133" i="23" l="1"/>
  <c r="L133" i="23" s="1"/>
  <c r="K134" i="23"/>
  <c r="L134" i="23" s="1"/>
  <c r="K132" i="23"/>
  <c r="L132" i="23" s="1"/>
  <c r="F124" i="23"/>
  <c r="F107" i="23"/>
  <c r="J102" i="23"/>
  <c r="F102" i="23"/>
  <c r="J106" i="23"/>
  <c r="F106" i="23"/>
  <c r="J17" i="36"/>
  <c r="J16" i="36"/>
  <c r="J15" i="36"/>
  <c r="J14" i="36"/>
  <c r="J13" i="36"/>
  <c r="J12" i="36"/>
  <c r="J11" i="36"/>
  <c r="J10" i="36"/>
  <c r="J99" i="23"/>
  <c r="F99" i="23"/>
  <c r="F140" i="23"/>
  <c r="K102" i="23" l="1"/>
  <c r="L102" i="23" s="1"/>
  <c r="K99" i="23"/>
  <c r="L99" i="23" s="1"/>
  <c r="K106" i="23"/>
  <c r="L106" i="23" s="1"/>
  <c r="K12" i="36"/>
  <c r="L12" i="36" s="1"/>
  <c r="K11" i="36"/>
  <c r="L11" i="36" s="1"/>
  <c r="K13" i="36"/>
  <c r="L13" i="36" s="1"/>
  <c r="K15" i="36"/>
  <c r="L15" i="36" s="1"/>
  <c r="K10" i="36"/>
  <c r="L10" i="36" s="1"/>
  <c r="K14" i="36"/>
  <c r="L14" i="36" s="1"/>
  <c r="K16" i="36"/>
  <c r="L16" i="36" s="1"/>
  <c r="K17" i="36"/>
  <c r="L17" i="36" s="1"/>
  <c r="F37" i="36"/>
  <c r="J36" i="36"/>
  <c r="F144" i="23"/>
  <c r="J144" i="23"/>
  <c r="C8" i="35"/>
  <c r="K7" i="35"/>
  <c r="E24" i="35"/>
  <c r="G24" i="35" s="1"/>
  <c r="C29" i="35"/>
  <c r="B29" i="35"/>
  <c r="J28" i="35"/>
  <c r="S27" i="35"/>
  <c r="P27" i="35"/>
  <c r="R27" i="35" s="1"/>
  <c r="T27" i="35" s="1"/>
  <c r="O27" i="35"/>
  <c r="N27" i="35"/>
  <c r="K27" i="35"/>
  <c r="M27" i="35" s="1"/>
  <c r="G27" i="35"/>
  <c r="D27" i="35"/>
  <c r="W26" i="35"/>
  <c r="S26" i="35"/>
  <c r="P26" i="35"/>
  <c r="R26" i="35" s="1"/>
  <c r="T26" i="35" s="1"/>
  <c r="O26" i="35"/>
  <c r="N26" i="35"/>
  <c r="K26" i="35"/>
  <c r="M26" i="35" s="1"/>
  <c r="G26" i="35"/>
  <c r="D26" i="35"/>
  <c r="W25" i="35"/>
  <c r="S25" i="35"/>
  <c r="P25" i="35"/>
  <c r="R25" i="35" s="1"/>
  <c r="T25" i="35" s="1"/>
  <c r="O25" i="35"/>
  <c r="N25" i="35"/>
  <c r="K25" i="35"/>
  <c r="M25" i="35" s="1"/>
  <c r="G25" i="35"/>
  <c r="D25" i="35"/>
  <c r="W24" i="35"/>
  <c r="S24" i="35"/>
  <c r="P24" i="35"/>
  <c r="R24" i="35" s="1"/>
  <c r="T24" i="35" s="1"/>
  <c r="O24" i="35"/>
  <c r="N24" i="35"/>
  <c r="K24" i="35"/>
  <c r="M24" i="35" s="1"/>
  <c r="D24" i="35"/>
  <c r="U23" i="35"/>
  <c r="W23" i="35" s="1"/>
  <c r="S23" i="35"/>
  <c r="O23" i="35"/>
  <c r="N23" i="35"/>
  <c r="P23" i="35" s="1"/>
  <c r="R23" i="35" s="1"/>
  <c r="T23" i="35" s="1"/>
  <c r="K23" i="35"/>
  <c r="M23" i="35" s="1"/>
  <c r="G23" i="35"/>
  <c r="D23" i="35"/>
  <c r="W22" i="35"/>
  <c r="S22" i="35"/>
  <c r="P22" i="35"/>
  <c r="R22" i="35" s="1"/>
  <c r="T22" i="35" s="1"/>
  <c r="O22" i="35"/>
  <c r="N22" i="35"/>
  <c r="K22" i="35"/>
  <c r="H22" i="35" s="1"/>
  <c r="J22" i="35" s="1"/>
  <c r="G22" i="35"/>
  <c r="G29" i="35" s="1"/>
  <c r="D22" i="35"/>
  <c r="S21" i="35"/>
  <c r="P21" i="35"/>
  <c r="R21" i="35" s="1"/>
  <c r="O21" i="35"/>
  <c r="N21" i="35"/>
  <c r="K21" i="35"/>
  <c r="M21" i="35" s="1"/>
  <c r="G21" i="35"/>
  <c r="D21" i="35"/>
  <c r="W20" i="35"/>
  <c r="S20" i="35"/>
  <c r="S29" i="35" s="1"/>
  <c r="P20" i="35"/>
  <c r="R20" i="35" s="1"/>
  <c r="T20" i="35" s="1"/>
  <c r="O20" i="35"/>
  <c r="O29" i="35" s="1"/>
  <c r="N20" i="35"/>
  <c r="N29" i="35" s="1"/>
  <c r="K20" i="35"/>
  <c r="M20" i="35" s="1"/>
  <c r="G20" i="35"/>
  <c r="D20" i="35"/>
  <c r="D29" i="35" s="1"/>
  <c r="F20" i="23"/>
  <c r="J20" i="23"/>
  <c r="J19" i="23"/>
  <c r="F19" i="23"/>
  <c r="J98" i="23"/>
  <c r="F98" i="23"/>
  <c r="F122" i="23"/>
  <c r="F129" i="23"/>
  <c r="F128" i="23"/>
  <c r="J129" i="23"/>
  <c r="F127" i="23"/>
  <c r="J127" i="23"/>
  <c r="F123" i="23"/>
  <c r="J122" i="23"/>
  <c r="F119" i="23"/>
  <c r="F118" i="23"/>
  <c r="J118" i="23"/>
  <c r="F115" i="23"/>
  <c r="F114" i="23"/>
  <c r="F113" i="23"/>
  <c r="F112" i="23"/>
  <c r="J112" i="23"/>
  <c r="J92" i="23"/>
  <c r="F92" i="23"/>
  <c r="H91" i="23"/>
  <c r="J91" i="23" s="1"/>
  <c r="W7" i="35"/>
  <c r="W8" i="35"/>
  <c r="W9" i="35"/>
  <c r="W10" i="35"/>
  <c r="W11" i="35"/>
  <c r="W5" i="35"/>
  <c r="U8" i="35"/>
  <c r="K19" i="23" l="1"/>
  <c r="L19" i="23" s="1"/>
  <c r="K36" i="36"/>
  <c r="L36" i="36" s="1"/>
  <c r="K144" i="23"/>
  <c r="L144" i="23" s="1"/>
  <c r="T21" i="35"/>
  <c r="T29" i="35" s="1"/>
  <c r="W29" i="35"/>
  <c r="M22" i="35"/>
  <c r="M29" i="35" s="1"/>
  <c r="H23" i="35"/>
  <c r="J23" i="35" s="1"/>
  <c r="J29" i="35" s="1"/>
  <c r="K20" i="23"/>
  <c r="L20" i="23" s="1"/>
  <c r="K98" i="23"/>
  <c r="L98" i="23" s="1"/>
  <c r="K122" i="23"/>
  <c r="L122" i="23" s="1"/>
  <c r="K128" i="23"/>
  <c r="L128" i="23" s="1"/>
  <c r="K119" i="23"/>
  <c r="L119" i="23" s="1"/>
  <c r="K118" i="23"/>
  <c r="L118" i="23" s="1"/>
  <c r="K129" i="23"/>
  <c r="L129" i="23" s="1"/>
  <c r="K127" i="23"/>
  <c r="L127" i="23" s="1"/>
  <c r="K123" i="23"/>
  <c r="L123" i="23" s="1"/>
  <c r="K113" i="23"/>
  <c r="L113" i="23" s="1"/>
  <c r="K115" i="23"/>
  <c r="L115" i="23" s="1"/>
  <c r="K114" i="23"/>
  <c r="L114" i="23" s="1"/>
  <c r="K112" i="23"/>
  <c r="L112" i="23" s="1"/>
  <c r="K92" i="23"/>
  <c r="L92" i="23" s="1"/>
  <c r="D91" i="23"/>
  <c r="F91" i="23" s="1"/>
  <c r="K91" i="23" s="1"/>
  <c r="L91" i="23" s="1"/>
  <c r="J90" i="23" l="1"/>
  <c r="F90" i="23"/>
  <c r="F89" i="23"/>
  <c r="J89" i="23"/>
  <c r="J86" i="23"/>
  <c r="F86" i="23"/>
  <c r="F88" i="23"/>
  <c r="J88" i="23"/>
  <c r="F87" i="23"/>
  <c r="J87" i="23"/>
  <c r="F85" i="23"/>
  <c r="J85" i="23"/>
  <c r="J84" i="23"/>
  <c r="F84" i="23"/>
  <c r="F83" i="23"/>
  <c r="J83" i="23"/>
  <c r="J80" i="23"/>
  <c r="F80" i="23"/>
  <c r="J82" i="23"/>
  <c r="J81" i="23"/>
  <c r="F82" i="23"/>
  <c r="F81" i="23"/>
  <c r="K89" i="23" l="1"/>
  <c r="L89" i="23" s="1"/>
  <c r="K86" i="23"/>
  <c r="L86" i="23" s="1"/>
  <c r="K88" i="23"/>
  <c r="L88" i="23" s="1"/>
  <c r="K90" i="23"/>
  <c r="L90" i="23" s="1"/>
  <c r="K84" i="23"/>
  <c r="L84" i="23" s="1"/>
  <c r="K81" i="23"/>
  <c r="L81" i="23" s="1"/>
  <c r="K82" i="23"/>
  <c r="L82" i="23" s="1"/>
  <c r="K85" i="23"/>
  <c r="L85" i="23" s="1"/>
  <c r="K80" i="23"/>
  <c r="L80" i="23" s="1"/>
  <c r="K87" i="23"/>
  <c r="L87" i="23" s="1"/>
  <c r="K83" i="23"/>
  <c r="L83" i="23" s="1"/>
  <c r="F72" i="23" l="1"/>
  <c r="J72" i="23"/>
  <c r="F71" i="23"/>
  <c r="H71" i="23"/>
  <c r="J71" i="23" s="1"/>
  <c r="H69" i="23"/>
  <c r="J69" i="23" s="1"/>
  <c r="H70" i="23"/>
  <c r="S6" i="35"/>
  <c r="S7" i="35"/>
  <c r="S8" i="35"/>
  <c r="S9" i="35"/>
  <c r="S10" i="35"/>
  <c r="S11" i="35"/>
  <c r="S12" i="35"/>
  <c r="S5" i="35"/>
  <c r="K71" i="23" l="1"/>
  <c r="L71" i="23" s="1"/>
  <c r="K72" i="23"/>
  <c r="L72" i="23" s="1"/>
  <c r="O6" i="35" l="1"/>
  <c r="O7" i="35"/>
  <c r="O8" i="35"/>
  <c r="O9" i="35"/>
  <c r="O10" i="35"/>
  <c r="O11" i="35"/>
  <c r="O12" i="35"/>
  <c r="O5" i="35"/>
  <c r="N6" i="35"/>
  <c r="P6" i="35" s="1"/>
  <c r="R6" i="35" s="1"/>
  <c r="T6" i="35" s="1"/>
  <c r="N7" i="35"/>
  <c r="P7" i="35" s="1"/>
  <c r="R7" i="35" s="1"/>
  <c r="T7" i="35" s="1"/>
  <c r="N8" i="35"/>
  <c r="P8" i="35" s="1"/>
  <c r="R8" i="35" s="1"/>
  <c r="T8" i="35" s="1"/>
  <c r="N9" i="35"/>
  <c r="P9" i="35" s="1"/>
  <c r="R9" i="35" s="1"/>
  <c r="T9" i="35" s="1"/>
  <c r="N10" i="35"/>
  <c r="P10" i="35" s="1"/>
  <c r="R10" i="35" s="1"/>
  <c r="T10" i="35" s="1"/>
  <c r="N11" i="35"/>
  <c r="P11" i="35" s="1"/>
  <c r="R11" i="35" s="1"/>
  <c r="T11" i="35" s="1"/>
  <c r="N12" i="35"/>
  <c r="P12" i="35" s="1"/>
  <c r="R12" i="35" s="1"/>
  <c r="T12" i="35" s="1"/>
  <c r="N5" i="35"/>
  <c r="P5" i="35" s="1"/>
  <c r="R5" i="35" s="1"/>
  <c r="T5" i="35" s="1"/>
  <c r="K12" i="35"/>
  <c r="M12" i="35" s="1"/>
  <c r="K11" i="35"/>
  <c r="M11" i="35" s="1"/>
  <c r="K8" i="35"/>
  <c r="M8" i="35" s="1"/>
  <c r="M7" i="35"/>
  <c r="K5" i="35"/>
  <c r="M5" i="35" s="1"/>
  <c r="K6" i="35"/>
  <c r="M6" i="35" s="1"/>
  <c r="K9" i="35"/>
  <c r="M9" i="35" s="1"/>
  <c r="K10" i="35"/>
  <c r="M10" i="35" s="1"/>
  <c r="G6" i="35"/>
  <c r="G7" i="35"/>
  <c r="G8" i="35"/>
  <c r="G9" i="35"/>
  <c r="G5" i="35"/>
  <c r="E12" i="35"/>
  <c r="G12" i="35" s="1"/>
  <c r="E10" i="35"/>
  <c r="G10" i="35" s="1"/>
  <c r="D6" i="35"/>
  <c r="D7" i="35"/>
  <c r="D8" i="35"/>
  <c r="D9" i="35"/>
  <c r="D10" i="35"/>
  <c r="D11" i="35"/>
  <c r="D12" i="35"/>
  <c r="D5" i="35"/>
  <c r="W14" i="35" l="1"/>
  <c r="H8" i="35"/>
  <c r="J8" i="35" s="1"/>
  <c r="N14" i="35"/>
  <c r="H65" i="23" s="1"/>
  <c r="D65" i="23" s="1"/>
  <c r="H7" i="35"/>
  <c r="J7" i="35" s="1"/>
  <c r="F100" i="23"/>
  <c r="J100" i="23"/>
  <c r="F101" i="23"/>
  <c r="J101" i="23"/>
  <c r="F103" i="23"/>
  <c r="J103" i="23"/>
  <c r="F104" i="23"/>
  <c r="J104" i="23"/>
  <c r="F105" i="23"/>
  <c r="J105" i="23"/>
  <c r="J151" i="23"/>
  <c r="F49" i="23"/>
  <c r="J49" i="23"/>
  <c r="J149" i="23"/>
  <c r="J148" i="23"/>
  <c r="J147" i="23"/>
  <c r="J146" i="23"/>
  <c r="J145" i="23"/>
  <c r="J141" i="23"/>
  <c r="J140" i="23"/>
  <c r="J139" i="23"/>
  <c r="J111" i="23"/>
  <c r="F111" i="23"/>
  <c r="F135" i="23" s="1"/>
  <c r="J97" i="23"/>
  <c r="F97" i="23"/>
  <c r="J77" i="23"/>
  <c r="F77" i="23"/>
  <c r="J93" i="23"/>
  <c r="J76" i="23"/>
  <c r="J75" i="23"/>
  <c r="J135" i="23" l="1"/>
  <c r="J14" i="23" s="1"/>
  <c r="F108" i="23"/>
  <c r="E13" i="23" s="1"/>
  <c r="J108" i="23"/>
  <c r="J13" i="23" s="1"/>
  <c r="J152" i="23"/>
  <c r="J15" i="23" s="1"/>
  <c r="E14" i="23"/>
  <c r="F14" i="23" s="1"/>
  <c r="K101" i="23"/>
  <c r="L101" i="23" s="1"/>
  <c r="K104" i="23"/>
  <c r="L104" i="23" s="1"/>
  <c r="J14" i="35"/>
  <c r="H60" i="23" s="1"/>
  <c r="D60" i="23" s="1"/>
  <c r="K103" i="23"/>
  <c r="L103" i="23" s="1"/>
  <c r="K105" i="23"/>
  <c r="L105" i="23" s="1"/>
  <c r="K100" i="23"/>
  <c r="L100" i="23" s="1"/>
  <c r="K49" i="23"/>
  <c r="L49" i="23" s="1"/>
  <c r="K111" i="23"/>
  <c r="L111" i="23" s="1"/>
  <c r="K97" i="23"/>
  <c r="L97" i="23" s="1"/>
  <c r="K77" i="23"/>
  <c r="L77" i="23" s="1"/>
  <c r="K135" i="23" l="1"/>
  <c r="L135" i="23" s="1"/>
  <c r="K108" i="23"/>
  <c r="L108" i="23" s="1"/>
  <c r="F76" i="23" l="1"/>
  <c r="K76" i="23" s="1"/>
  <c r="L76" i="23" s="1"/>
  <c r="F75" i="23"/>
  <c r="K75" i="23" s="1"/>
  <c r="L75" i="23" s="1"/>
  <c r="J70" i="23"/>
  <c r="J68" i="23"/>
  <c r="F70" i="23"/>
  <c r="F93" i="23"/>
  <c r="F65" i="23"/>
  <c r="J65" i="23"/>
  <c r="F60" i="23"/>
  <c r="J60" i="23"/>
  <c r="K93" i="23" l="1"/>
  <c r="L93" i="23" s="1"/>
  <c r="K70" i="23"/>
  <c r="L70" i="23" s="1"/>
  <c r="K65" i="23"/>
  <c r="L65" i="23" s="1"/>
  <c r="K60" i="23"/>
  <c r="L60" i="23" s="1"/>
  <c r="F68" i="23" l="1"/>
  <c r="K68" i="23" s="1"/>
  <c r="L68" i="23" s="1"/>
  <c r="F69" i="23"/>
  <c r="K69" i="23" s="1"/>
  <c r="L69" i="23" s="1"/>
  <c r="F41" i="23" l="1"/>
  <c r="F151" i="23" l="1"/>
  <c r="K151" i="23" s="1"/>
  <c r="L151" i="23" s="1"/>
  <c r="F150" i="23"/>
  <c r="F149" i="23"/>
  <c r="K149" i="23" s="1"/>
  <c r="L149" i="23" s="1"/>
  <c r="F148" i="23"/>
  <c r="K148" i="23" s="1"/>
  <c r="L148" i="23" s="1"/>
  <c r="F147" i="23"/>
  <c r="K147" i="23" s="1"/>
  <c r="L147" i="23" s="1"/>
  <c r="F146" i="23"/>
  <c r="K146" i="23" s="1"/>
  <c r="L146" i="23" s="1"/>
  <c r="F145" i="23"/>
  <c r="K145" i="23" s="1"/>
  <c r="L145" i="23" s="1"/>
  <c r="F141" i="23"/>
  <c r="K141" i="23" s="1"/>
  <c r="L141" i="23" s="1"/>
  <c r="K140" i="23"/>
  <c r="L140" i="23" s="1"/>
  <c r="F139" i="23"/>
  <c r="F46" i="23"/>
  <c r="F47" i="23"/>
  <c r="F48" i="23"/>
  <c r="F50" i="23"/>
  <c r="J46" i="23"/>
  <c r="J47" i="23"/>
  <c r="J48" i="23"/>
  <c r="J50" i="23"/>
  <c r="K150" i="23" l="1"/>
  <c r="L150" i="23" s="1"/>
  <c r="K139" i="23"/>
  <c r="L139" i="23" s="1"/>
  <c r="F51" i="23"/>
  <c r="E11" i="23" s="1"/>
  <c r="J51" i="23"/>
  <c r="J11" i="23" s="1"/>
  <c r="E15" i="23" l="1"/>
  <c r="F15" i="23" s="1"/>
  <c r="K15" i="23" s="1"/>
  <c r="L15" i="23" s="1"/>
  <c r="K152" i="23"/>
  <c r="L152" i="23" s="1"/>
  <c r="K14" i="23"/>
  <c r="L14" i="23" s="1"/>
  <c r="M14" i="35" l="1"/>
  <c r="H59" i="23" s="1"/>
  <c r="O14" i="35"/>
  <c r="H63" i="23" s="1"/>
  <c r="D63" i="23" l="1"/>
  <c r="F63" i="23" s="1"/>
  <c r="J63" i="23"/>
  <c r="D59" i="23"/>
  <c r="F59" i="23" s="1"/>
  <c r="J59" i="23"/>
  <c r="J42" i="23"/>
  <c r="J41" i="23"/>
  <c r="J40" i="23"/>
  <c r="J39" i="23"/>
  <c r="F39" i="23"/>
  <c r="K59" i="23" l="1"/>
  <c r="L59" i="23" s="1"/>
  <c r="K63" i="23"/>
  <c r="L63" i="23" s="1"/>
  <c r="J43" i="23"/>
  <c r="J10" i="23" s="1"/>
  <c r="K39" i="23"/>
  <c r="L39" i="23" s="1"/>
  <c r="G14" i="35"/>
  <c r="H58" i="23" s="1"/>
  <c r="D58" i="23" s="1"/>
  <c r="F58" i="23" l="1"/>
  <c r="J58" i="23"/>
  <c r="S14" i="35"/>
  <c r="K58" i="23" l="1"/>
  <c r="L58" i="23" s="1"/>
  <c r="K50" i="23"/>
  <c r="L50" i="23" s="1"/>
  <c r="T14" i="35"/>
  <c r="H64" i="23" s="1"/>
  <c r="D14" i="35"/>
  <c r="D64" i="23" l="1"/>
  <c r="F64" i="23" s="1"/>
  <c r="J64" i="23"/>
  <c r="B14" i="35"/>
  <c r="H55" i="23" s="1"/>
  <c r="C14" i="35"/>
  <c r="K64" i="23" l="1"/>
  <c r="L64" i="23" s="1"/>
  <c r="J55" i="23"/>
  <c r="J94" i="23" s="1"/>
  <c r="J12" i="23" s="1"/>
  <c r="D55" i="23"/>
  <c r="F55" i="23" s="1"/>
  <c r="F94" i="23" s="1"/>
  <c r="J16" i="23" l="1"/>
  <c r="K55" i="23"/>
  <c r="L55" i="23" s="1"/>
  <c r="K48" i="23"/>
  <c r="L48" i="23" s="1"/>
  <c r="E12" i="23" l="1"/>
  <c r="K94" i="23"/>
  <c r="L94" i="23" s="1"/>
  <c r="K47" i="23" l="1"/>
  <c r="L47" i="23" s="1"/>
  <c r="K46" i="23"/>
  <c r="L46" i="23" s="1"/>
  <c r="K41" i="23"/>
  <c r="L41" i="23" s="1"/>
  <c r="F42" i="23"/>
  <c r="K42" i="23" s="1"/>
  <c r="L42" i="23" s="1"/>
  <c r="F40" i="23"/>
  <c r="K40" i="23" s="1"/>
  <c r="L40" i="23" s="1"/>
  <c r="F43" i="23" l="1"/>
  <c r="E10" i="23" s="1"/>
  <c r="K51" i="23" l="1"/>
  <c r="L51" i="23" s="1"/>
  <c r="K43" i="23"/>
  <c r="L43" i="23" s="1"/>
  <c r="F10" i="23" l="1"/>
  <c r="K10" i="23" s="1"/>
  <c r="L10" i="23" s="1"/>
  <c r="F13" i="23" l="1"/>
  <c r="K13" i="23" s="1"/>
  <c r="F12" i="23"/>
  <c r="F11" i="23"/>
  <c r="K11" i="23" s="1"/>
  <c r="L11" i="23" s="1"/>
  <c r="K12" i="23" l="1"/>
  <c r="L12" i="23" s="1"/>
  <c r="L13" i="23"/>
  <c r="F16" i="23"/>
  <c r="E23" i="23" l="1"/>
  <c r="F23" i="23" s="1"/>
  <c r="E22" i="23"/>
  <c r="F22" i="23" s="1"/>
  <c r="E24" i="23"/>
  <c r="F24" i="23" s="1"/>
  <c r="E21" i="23"/>
  <c r="F21" i="23" s="1"/>
  <c r="K16" i="23"/>
  <c r="L16" i="23" s="1"/>
  <c r="F25" i="23" l="1"/>
  <c r="F26" i="23" s="1"/>
  <c r="L26" i="23" s="1"/>
  <c r="F27" i="23" l="1"/>
  <c r="F28" i="23" s="1"/>
</calcChain>
</file>

<file path=xl/sharedStrings.xml><?xml version="1.0" encoding="utf-8"?>
<sst xmlns="http://schemas.openxmlformats.org/spreadsheetml/2006/main" count="502" uniqueCount="302">
  <si>
    <t>新北市三重區三和路四段103號7樓  TEL: 02-22867899 FAX: 02-22869566</t>
    <phoneticPr fontId="8" type="noConversion"/>
  </si>
  <si>
    <t>項次</t>
    <phoneticPr fontId="9" type="noConversion"/>
  </si>
  <si>
    <t>單位</t>
    <phoneticPr fontId="9" type="noConversion"/>
  </si>
  <si>
    <t>Item</t>
    <phoneticPr fontId="9" type="noConversion"/>
  </si>
  <si>
    <t>Description</t>
    <phoneticPr fontId="9" type="noConversion"/>
  </si>
  <si>
    <t>Unit</t>
    <phoneticPr fontId="9" type="noConversion"/>
  </si>
  <si>
    <t>Quantity</t>
    <phoneticPr fontId="9" type="noConversion"/>
  </si>
  <si>
    <t>Unit Price</t>
    <phoneticPr fontId="9" type="noConversion"/>
  </si>
  <si>
    <t>Amount</t>
    <phoneticPr fontId="9" type="noConversion"/>
  </si>
  <si>
    <t>Remarks</t>
    <phoneticPr fontId="9" type="noConversion"/>
  </si>
  <si>
    <t>名         稱</t>
    <phoneticPr fontId="9" type="noConversion"/>
  </si>
  <si>
    <t>數  量</t>
    <phoneticPr fontId="9" type="noConversion"/>
  </si>
  <si>
    <t>單  價</t>
    <phoneticPr fontId="9" type="noConversion"/>
  </si>
  <si>
    <t>總  價</t>
    <phoneticPr fontId="9" type="noConversion"/>
  </si>
  <si>
    <t>備    註</t>
    <phoneticPr fontId="9" type="noConversion"/>
  </si>
  <si>
    <t>CLIENT   業主 :</t>
    <phoneticPr fontId="9" type="noConversion"/>
  </si>
  <si>
    <t>PROJECT   工程名稱 :</t>
    <phoneticPr fontId="9" type="noConversion"/>
  </si>
  <si>
    <t>LOCATION   工程地點：</t>
    <phoneticPr fontId="9" type="noConversion"/>
  </si>
  <si>
    <t>PROJECT NO   工程編號 :</t>
    <phoneticPr fontId="9" type="noConversion"/>
  </si>
  <si>
    <t>甲</t>
    <phoneticPr fontId="9" type="noConversion"/>
  </si>
  <si>
    <t>甲.貳</t>
    <phoneticPr fontId="9" type="noConversion"/>
  </si>
  <si>
    <t>甲.肆</t>
    <phoneticPr fontId="9" type="noConversion"/>
  </si>
  <si>
    <t>甲.伍</t>
    <phoneticPr fontId="9" type="noConversion"/>
  </si>
  <si>
    <t>式</t>
    <phoneticPr fontId="8" type="noConversion"/>
  </si>
  <si>
    <t>甲.叁</t>
    <phoneticPr fontId="9" type="noConversion"/>
  </si>
  <si>
    <t>空調工程</t>
    <phoneticPr fontId="8" type="noConversion"/>
  </si>
  <si>
    <t>機電工程</t>
    <phoneticPr fontId="8" type="noConversion"/>
  </si>
  <si>
    <t>直接工程費</t>
    <phoneticPr fontId="9" type="noConversion"/>
  </si>
  <si>
    <t>直接工程費小計</t>
    <phoneticPr fontId="8" type="noConversion"/>
  </si>
  <si>
    <t>拆除工程</t>
    <phoneticPr fontId="8" type="noConversion"/>
  </si>
  <si>
    <t>假設工程</t>
    <phoneticPr fontId="8" type="noConversion"/>
  </si>
  <si>
    <t>甲.壹.</t>
    <phoneticPr fontId="9" type="noConversion"/>
  </si>
  <si>
    <t>施工臨時水電設施及費用</t>
    <phoneticPr fontId="8" type="noConversion"/>
  </si>
  <si>
    <t>工區結構物及設施復原</t>
    <phoneticPr fontId="8" type="noConversion"/>
  </si>
  <si>
    <t>裝修工程</t>
    <phoneticPr fontId="8" type="noConversion"/>
  </si>
  <si>
    <t>天花板工程</t>
    <phoneticPr fontId="8" type="noConversion"/>
  </si>
  <si>
    <t>牆面工程</t>
    <phoneticPr fontId="8" type="noConversion"/>
  </si>
  <si>
    <t>門窗工程</t>
    <phoneticPr fontId="8" type="noConversion"/>
  </si>
  <si>
    <t>櫥櫃工程</t>
    <phoneticPr fontId="8" type="noConversion"/>
  </si>
  <si>
    <t>甲.陸</t>
    <phoneticPr fontId="9" type="noConversion"/>
  </si>
  <si>
    <t>周長cm</t>
    <phoneticPr fontId="8" type="noConversion"/>
  </si>
  <si>
    <t>各室面積及周長</t>
    <phoneticPr fontId="8" type="noConversion"/>
  </si>
  <si>
    <t>加總</t>
    <phoneticPr fontId="8" type="noConversion"/>
  </si>
  <si>
    <t>地坪自平水泥</t>
    <phoneticPr fontId="8" type="noConversion"/>
  </si>
  <si>
    <t>m</t>
    <phoneticPr fontId="8" type="noConversion"/>
  </si>
  <si>
    <t>上牆踢腳</t>
    <phoneticPr fontId="8" type="noConversion"/>
  </si>
  <si>
    <t>樘</t>
    <phoneticPr fontId="8" type="noConversion"/>
  </si>
  <si>
    <t>甲.叁.一</t>
    <phoneticPr fontId="9" type="noConversion"/>
  </si>
  <si>
    <t>甲.壹</t>
    <phoneticPr fontId="9" type="noConversion"/>
  </si>
  <si>
    <t>拆除工程小計</t>
    <phoneticPr fontId="8" type="noConversion"/>
  </si>
  <si>
    <t>假設工程小計</t>
    <phoneticPr fontId="8" type="noConversion"/>
  </si>
  <si>
    <t>地面工程</t>
    <phoneticPr fontId="8" type="noConversion"/>
  </si>
  <si>
    <t>式</t>
  </si>
  <si>
    <t>甲.叁.四.3</t>
  </si>
  <si>
    <t>7樓病房</t>
    <phoneticPr fontId="8" type="noConversion"/>
  </si>
  <si>
    <t>項目               房間名稱</t>
    <phoneticPr fontId="8" type="noConversion"/>
  </si>
  <si>
    <t>周長</t>
    <phoneticPr fontId="8" type="noConversion"/>
  </si>
  <si>
    <r>
      <t>面積/m</t>
    </r>
    <r>
      <rPr>
        <sz val="12"/>
        <color theme="1"/>
        <rFont val="新細明體"/>
        <family val="1"/>
        <charset val="136"/>
      </rPr>
      <t>²</t>
    </r>
    <phoneticPr fontId="8" type="noConversion"/>
  </si>
  <si>
    <t>面積/m²</t>
  </si>
  <si>
    <t>面積/m²</t>
    <phoneticPr fontId="8" type="noConversion"/>
  </si>
  <si>
    <t>高度</t>
    <phoneticPr fontId="8" type="noConversion"/>
  </si>
  <si>
    <t>周長/cm</t>
    <phoneticPr fontId="8" type="noConversion"/>
  </si>
  <si>
    <t>高度/cm</t>
    <phoneticPr fontId="8" type="noConversion"/>
  </si>
  <si>
    <t>自平泥</t>
    <phoneticPr fontId="8" type="noConversion"/>
  </si>
  <si>
    <t>PVC地磚</t>
    <phoneticPr fontId="8" type="noConversion"/>
  </si>
  <si>
    <t>防撞護角</t>
    <phoneticPr fontId="8" type="noConversion"/>
  </si>
  <si>
    <t>支</t>
    <phoneticPr fontId="8" type="noConversion"/>
  </si>
  <si>
    <t>系統櫃</t>
    <phoneticPr fontId="8" type="noConversion"/>
  </si>
  <si>
    <t>明架矽酸鈣天花板</t>
    <phoneticPr fontId="8" type="noConversion"/>
  </si>
  <si>
    <t>上牆面積/m²</t>
    <phoneticPr fontId="8" type="noConversion"/>
  </si>
  <si>
    <t>地面面積/m²</t>
    <phoneticPr fontId="8" type="noConversion"/>
  </si>
  <si>
    <t>合計</t>
    <phoneticPr fontId="8" type="noConversion"/>
  </si>
  <si>
    <t>單價</t>
    <phoneticPr fontId="9" type="noConversion"/>
  </si>
  <si>
    <t>總價</t>
    <phoneticPr fontId="9" type="noConversion"/>
  </si>
  <si>
    <t>毛利</t>
    <phoneticPr fontId="9" type="noConversion"/>
  </si>
  <si>
    <t>毛利率</t>
    <phoneticPr fontId="9" type="noConversion"/>
  </si>
  <si>
    <t>施工防護措施，施工圍籬</t>
    <phoneticPr fontId="8" type="noConversion"/>
  </si>
  <si>
    <t>甲.壹.一.1</t>
    <phoneticPr fontId="9" type="noConversion"/>
  </si>
  <si>
    <t>甲.壹.一.2</t>
  </si>
  <si>
    <t>甲.貳.一.1</t>
    <phoneticPr fontId="8" type="noConversion"/>
  </si>
  <si>
    <t>甲.貳.一.4</t>
  </si>
  <si>
    <t>甲.貳.一.5</t>
  </si>
  <si>
    <t>甲.叁.一.1</t>
    <phoneticPr fontId="9" type="noConversion"/>
  </si>
  <si>
    <t>甲.叁</t>
  </si>
  <si>
    <t>甲.叁.四.2</t>
  </si>
  <si>
    <t>甲.叁.六.2</t>
  </si>
  <si>
    <t>雜項工程</t>
    <phoneticPr fontId="8" type="noConversion"/>
  </si>
  <si>
    <t>座</t>
  </si>
  <si>
    <t>甲.叁.一.3</t>
  </si>
  <si>
    <r>
      <t>單骨</t>
    </r>
    <r>
      <rPr>
        <sz val="12"/>
        <color rgb="FFFF0000"/>
        <rFont val="新細明體"/>
        <family val="1"/>
        <charset val="136"/>
        <scheme val="minor"/>
      </rPr>
      <t>雙</t>
    </r>
    <r>
      <rPr>
        <sz val="12"/>
        <color theme="1"/>
        <rFont val="新細明體"/>
        <family val="2"/>
        <charset val="136"/>
        <scheme val="minor"/>
      </rPr>
      <t>面輕隔間</t>
    </r>
    <phoneticPr fontId="8" type="noConversion"/>
  </si>
  <si>
    <t>施工測量，工地放樣</t>
    <phoneticPr fontId="8" type="noConversion"/>
  </si>
  <si>
    <t>既有隔間拆除</t>
    <phoneticPr fontId="8" type="noConversion"/>
  </si>
  <si>
    <t>拆除廢棄物清運</t>
    <phoneticPr fontId="8" type="noConversion"/>
  </si>
  <si>
    <t>PVC無縫地板</t>
    <phoneticPr fontId="8" type="noConversion"/>
  </si>
  <si>
    <t>牆面油漆粉刷</t>
    <phoneticPr fontId="8" type="noConversion"/>
  </si>
  <si>
    <t>㎡</t>
  </si>
  <si>
    <t>組</t>
  </si>
  <si>
    <t>張</t>
  </si>
  <si>
    <t>110V/220V電源盤配線安裝</t>
  </si>
  <si>
    <t>調光崁燈</t>
  </si>
  <si>
    <t>110V插座配置</t>
  </si>
  <si>
    <t>盞</t>
  </si>
  <si>
    <t>台</t>
  </si>
  <si>
    <t>空調工程小計</t>
    <phoneticPr fontId="8" type="noConversion"/>
  </si>
  <si>
    <t>運雜費</t>
  </si>
  <si>
    <t>M</t>
    <phoneticPr fontId="8" type="noConversion"/>
  </si>
  <si>
    <t>甲.叁.一.4</t>
  </si>
  <si>
    <t>甲.叁.二</t>
    <phoneticPr fontId="9" type="noConversion"/>
  </si>
  <si>
    <t>甲.叁.二.1</t>
    <phoneticPr fontId="9" type="noConversion"/>
  </si>
  <si>
    <t>甲.叁.三</t>
    <phoneticPr fontId="9" type="noConversion"/>
  </si>
  <si>
    <t>甲.叁.一.2</t>
    <phoneticPr fontId="8" type="noConversion"/>
  </si>
  <si>
    <t>甲.叁.二.2</t>
  </si>
  <si>
    <t>甲.叁.二.3</t>
  </si>
  <si>
    <t>PVC上牆踢腳</t>
    <phoneticPr fontId="8" type="noConversion"/>
  </si>
  <si>
    <t>甲.叁.四</t>
    <phoneticPr fontId="9" type="noConversion"/>
  </si>
  <si>
    <t>甲.叁.四.1</t>
    <phoneticPr fontId="8" type="noConversion"/>
  </si>
  <si>
    <t>甲.叁.五</t>
    <phoneticPr fontId="9" type="noConversion"/>
  </si>
  <si>
    <t>甲.叁.五.2</t>
  </si>
  <si>
    <t>甲.叁.五.3</t>
  </si>
  <si>
    <t>甲.叁.六</t>
    <phoneticPr fontId="9" type="noConversion"/>
  </si>
  <si>
    <t>甲.叁.六.1</t>
    <phoneticPr fontId="9" type="noConversion"/>
  </si>
  <si>
    <t>裝修工程小計</t>
    <phoneticPr fontId="8" type="noConversion"/>
  </si>
  <si>
    <t>機電工程小計</t>
    <phoneticPr fontId="8" type="noConversion"/>
  </si>
  <si>
    <t>洗孔工程</t>
    <phoneticPr fontId="8" type="noConversion"/>
  </si>
  <si>
    <t>LED平板燈配置</t>
    <phoneticPr fontId="8" type="noConversion"/>
  </si>
  <si>
    <t>稅金</t>
    <phoneticPr fontId="8" type="noConversion"/>
  </si>
  <si>
    <t>甲.壹.一.3</t>
  </si>
  <si>
    <t>甲.壹.一.4</t>
  </si>
  <si>
    <t>既有/天花板/地板拆除</t>
    <phoneticPr fontId="8" type="noConversion"/>
  </si>
  <si>
    <t>既有水電/燈具/拆除</t>
    <phoneticPr fontId="8" type="noConversion"/>
  </si>
  <si>
    <t>既有出回風口拆除</t>
    <phoneticPr fontId="8" type="noConversion"/>
  </si>
  <si>
    <t>醫師診間02</t>
    <phoneticPr fontId="8" type="noConversion"/>
  </si>
  <si>
    <t>醫師診間01</t>
    <phoneticPr fontId="8" type="noConversion"/>
  </si>
  <si>
    <t>看診等候區</t>
    <phoneticPr fontId="8" type="noConversion"/>
  </si>
  <si>
    <t>診療區</t>
    <phoneticPr fontId="8" type="noConversion"/>
  </si>
  <si>
    <t>批價櫃檯</t>
    <phoneticPr fontId="8" type="noConversion"/>
  </si>
  <si>
    <t>中醫藥局</t>
    <phoneticPr fontId="8" type="noConversion"/>
  </si>
  <si>
    <t>中醫庫房</t>
    <phoneticPr fontId="8" type="noConversion"/>
  </si>
  <si>
    <t>藥局庫房</t>
    <phoneticPr fontId="8" type="noConversion"/>
  </si>
  <si>
    <t>單骨雙面矽酸鈣輕隔間</t>
    <phoneticPr fontId="8" type="noConversion"/>
  </si>
  <si>
    <t>牆面油漆</t>
    <phoneticPr fontId="8" type="noConversion"/>
  </si>
  <si>
    <t>牆面美耐板</t>
    <phoneticPr fontId="8" type="noConversion"/>
  </si>
  <si>
    <t>外部等候區</t>
    <phoneticPr fontId="8" type="noConversion"/>
  </si>
  <si>
    <t>美耐板牆面線板收邊</t>
    <phoneticPr fontId="8" type="noConversion"/>
  </si>
  <si>
    <t>H120</t>
    <phoneticPr fontId="8" type="noConversion"/>
  </si>
  <si>
    <t>中醫櫃台桌面貼人造石w186cm</t>
    <phoneticPr fontId="8" type="noConversion"/>
  </si>
  <si>
    <t>中醫櫃台吊櫃w180cm</t>
    <phoneticPr fontId="8" type="noConversion"/>
  </si>
  <si>
    <t>中醫櫃台高櫃w90cm</t>
    <phoneticPr fontId="8" type="noConversion"/>
  </si>
  <si>
    <t>中醫櫃台矮櫃w180cm</t>
    <phoneticPr fontId="8" type="noConversion"/>
  </si>
  <si>
    <t>甲.叁.四.4</t>
  </si>
  <si>
    <t>中醫藥局水槽櫃</t>
    <phoneticPr fontId="8" type="noConversion"/>
  </si>
  <si>
    <t>甲.叁.四.5</t>
  </si>
  <si>
    <t>不銹鋼框單開木門</t>
    <phoneticPr fontId="8" type="noConversion"/>
  </si>
  <si>
    <t>不銹鋼框手動橫拉木門</t>
    <phoneticPr fontId="8" type="noConversion"/>
  </si>
  <si>
    <t>式</t>
    <phoneticPr fontId="9" type="noConversion"/>
  </si>
  <si>
    <t>填縫劑，矽酮類，全工區範圍，Silicon填縫</t>
    <phoneticPr fontId="8" type="noConversion"/>
  </si>
  <si>
    <t>現場清潔(含定期清理)</t>
    <phoneticPr fontId="8" type="noConversion"/>
  </si>
  <si>
    <t>入口門面看板工程</t>
    <phoneticPr fontId="8" type="noConversion"/>
  </si>
  <si>
    <t>天花板拉簾軌道</t>
    <phoneticPr fontId="8" type="noConversion"/>
  </si>
  <si>
    <t>組</t>
    <phoneticPr fontId="8" type="noConversion"/>
  </si>
  <si>
    <t>甲.叁.六.3</t>
  </si>
  <si>
    <t>甲.叁.六.4</t>
  </si>
  <si>
    <t>甲.叁.六.5</t>
  </si>
  <si>
    <t>甲.叁.六.6</t>
  </si>
  <si>
    <t>甲.叁.六.7</t>
  </si>
  <si>
    <t>甲.叁.六.8</t>
  </si>
  <si>
    <t>甲.叁.六.9</t>
  </si>
  <si>
    <t>完工地板打蠟</t>
    <phoneticPr fontId="8" type="noConversion"/>
  </si>
  <si>
    <t>甲.叁.六.10</t>
  </si>
  <si>
    <t>診所外等候區美化</t>
    <phoneticPr fontId="8" type="noConversion"/>
  </si>
  <si>
    <t>甲.叁.六.11</t>
  </si>
  <si>
    <t>防焰捲簾</t>
  </si>
  <si>
    <t>才</t>
    <phoneticPr fontId="8" type="noConversion"/>
  </si>
  <si>
    <t>甲.叁.六.12</t>
  </si>
  <si>
    <t>OA辦公椅</t>
    <phoneticPr fontId="8" type="noConversion"/>
  </si>
  <si>
    <t>遠距離中心OA搬運置M7</t>
    <phoneticPr fontId="8" type="noConversion"/>
  </si>
  <si>
    <t>M7遠距離中心網路電話插座整理</t>
    <phoneticPr fontId="8" type="noConversion"/>
  </si>
  <si>
    <t>甲.叁.六.13</t>
  </si>
  <si>
    <t>甲.叁.六.14</t>
  </si>
  <si>
    <t>水槽給水/排水配管</t>
    <phoneticPr fontId="8" type="noConversion"/>
  </si>
  <si>
    <t>資訊電信配線安裝</t>
    <phoneticPr fontId="8" type="noConversion"/>
  </si>
  <si>
    <t>消防工程</t>
    <phoneticPr fontId="8" type="noConversion"/>
  </si>
  <si>
    <t>火警自動警報系統</t>
    <phoneticPr fontId="8" type="noConversion"/>
  </si>
  <si>
    <t>甲.伍.一</t>
    <phoneticPr fontId="9" type="noConversion"/>
  </si>
  <si>
    <t>偵煙式探測器 (局限型二種,附確認燈)</t>
    <phoneticPr fontId="8" type="noConversion"/>
  </si>
  <si>
    <t>甲.伍.一.1</t>
    <phoneticPr fontId="9" type="noConversion"/>
  </si>
  <si>
    <t>甲.伍.一.2</t>
  </si>
  <si>
    <t>甲.伍.一.3</t>
  </si>
  <si>
    <t>火警探測器移位安裝施作工料費</t>
    <phoneticPr fontId="8" type="noConversion"/>
  </si>
  <si>
    <t>測試調整</t>
    <phoneticPr fontId="8" type="noConversion"/>
  </si>
  <si>
    <t>總機原廠設定及調整</t>
    <phoneticPr fontId="8" type="noConversion"/>
  </si>
  <si>
    <t>甲.伍.一.4</t>
  </si>
  <si>
    <t>消防工程小計</t>
    <phoneticPr fontId="8" type="noConversion"/>
  </si>
  <si>
    <t>緊急廣播設備工程</t>
    <phoneticPr fontId="8" type="noConversion"/>
  </si>
  <si>
    <t>甲.伍.二</t>
    <phoneticPr fontId="9" type="noConversion"/>
  </si>
  <si>
    <t>甲.伍.二.1</t>
    <phoneticPr fontId="9" type="noConversion"/>
  </si>
  <si>
    <t>緊急廣播喇叭 3W-L級(崁頂式)</t>
  </si>
  <si>
    <t>只</t>
    <phoneticPr fontId="8" type="noConversion"/>
  </si>
  <si>
    <t>緊急廣播移位安裝施作工料費</t>
    <phoneticPr fontId="8" type="noConversion"/>
  </si>
  <si>
    <t>甲.伍.二.2</t>
  </si>
  <si>
    <t xml:space="preserve">避難設備工程 </t>
    <phoneticPr fontId="8" type="noConversion"/>
  </si>
  <si>
    <t>甲.伍.三</t>
    <phoneticPr fontId="9" type="noConversion"/>
  </si>
  <si>
    <t>停電緊急照明燈LED燈-(崁頂式)</t>
    <phoneticPr fontId="8" type="noConversion"/>
  </si>
  <si>
    <t>甲.伍.三.1</t>
    <phoneticPr fontId="9" type="noConversion"/>
  </si>
  <si>
    <t>甲.伍.三.2</t>
  </si>
  <si>
    <t>撒水滅火設備工程</t>
    <phoneticPr fontId="8" type="noConversion"/>
  </si>
  <si>
    <t>甲.伍.四</t>
    <phoneticPr fontId="9" type="noConversion"/>
  </si>
  <si>
    <t>甲.伍.四.1</t>
    <phoneticPr fontId="9" type="noConversion"/>
  </si>
  <si>
    <t>優美型撒水頭(含美化蓋板)</t>
    <phoneticPr fontId="8" type="noConversion"/>
  </si>
  <si>
    <t>撒水頭移位安裝施作工料費</t>
    <phoneticPr fontId="8" type="noConversion"/>
  </si>
  <si>
    <t>管路試水試壓(含排水/放水)</t>
    <phoneticPr fontId="8" type="noConversion"/>
  </si>
  <si>
    <t>甲.伍.四.2</t>
  </si>
  <si>
    <t>甲.伍.四.3</t>
  </si>
  <si>
    <t>燈具插座電源迴路</t>
    <phoneticPr fontId="8" type="noConversion"/>
  </si>
  <si>
    <t>回</t>
    <phoneticPr fontId="8" type="noConversion"/>
  </si>
  <si>
    <t>甲.肆.1</t>
    <phoneticPr fontId="8" type="noConversion"/>
  </si>
  <si>
    <t>甲.肆.2</t>
  </si>
  <si>
    <t>甲.肆.3</t>
  </si>
  <si>
    <t>甲.肆.4</t>
  </si>
  <si>
    <t>甲.肆.5</t>
  </si>
  <si>
    <t>甲.肆.6</t>
  </si>
  <si>
    <t>甲.肆.7</t>
  </si>
  <si>
    <t>甲.陸.一</t>
    <phoneticPr fontId="9" type="noConversion"/>
  </si>
  <si>
    <t>空調設備</t>
    <phoneticPr fontId="8" type="noConversion"/>
  </si>
  <si>
    <t>設備安裝</t>
    <phoneticPr fontId="8" type="noConversion"/>
  </si>
  <si>
    <t>甲.陸.二</t>
    <phoneticPr fontId="9" type="noConversion"/>
  </si>
  <si>
    <t>室內機銅管.控制線.EMT安裝</t>
    <phoneticPr fontId="8" type="noConversion"/>
  </si>
  <si>
    <t>室內機集風箱、出風口安裝</t>
    <phoneticPr fontId="8" type="noConversion"/>
  </si>
  <si>
    <t>甲.陸.二.1</t>
    <phoneticPr fontId="9" type="noConversion"/>
  </si>
  <si>
    <t>甲.陸.二.2</t>
  </si>
  <si>
    <t>甲.陸.二.3</t>
  </si>
  <si>
    <t>甲.陸.二.5</t>
  </si>
  <si>
    <t>甲.陸.二.6</t>
  </si>
  <si>
    <t>甲.陸.二.7</t>
  </si>
  <si>
    <t>台</t>
    <phoneticPr fontId="8" type="noConversion"/>
  </si>
  <si>
    <t>乙</t>
    <phoneticPr fontId="9" type="noConversion"/>
  </si>
  <si>
    <t>間接工程費</t>
    <phoneticPr fontId="9" type="noConversion"/>
  </si>
  <si>
    <t>兩階段室內裝修審查跑照</t>
    <phoneticPr fontId="8" type="noConversion"/>
  </si>
  <si>
    <t>消防圖說審勘及其他作業</t>
    <phoneticPr fontId="8" type="noConversion"/>
  </si>
  <si>
    <t>乙.壹</t>
    <phoneticPr fontId="9" type="noConversion"/>
  </si>
  <si>
    <t>乙.貳</t>
    <phoneticPr fontId="9" type="noConversion"/>
  </si>
  <si>
    <t>職業安全衛生管理及環境保護費</t>
    <phoneticPr fontId="8" type="noConversion"/>
  </si>
  <si>
    <t>乙.叁</t>
    <phoneticPr fontId="9" type="noConversion"/>
  </si>
  <si>
    <t>品質管理費</t>
    <phoneticPr fontId="8" type="noConversion"/>
  </si>
  <si>
    <t>承商工程利潤管理費</t>
    <phoneticPr fontId="8" type="noConversion"/>
  </si>
  <si>
    <t>乙.肆</t>
    <phoneticPr fontId="9" type="noConversion"/>
  </si>
  <si>
    <t>乙.伍</t>
    <phoneticPr fontId="9" type="noConversion"/>
  </si>
  <si>
    <t>工程保險</t>
    <phoneticPr fontId="8" type="noConversion"/>
  </si>
  <si>
    <t>乙.陸</t>
    <phoneticPr fontId="9" type="noConversion"/>
  </si>
  <si>
    <t>間接工程費小計</t>
    <phoneticPr fontId="8" type="noConversion"/>
  </si>
  <si>
    <t>小計</t>
    <phoneticPr fontId="8" type="noConversion"/>
  </si>
  <si>
    <t>玻璃白膜</t>
    <phoneticPr fontId="8" type="noConversion"/>
  </si>
  <si>
    <t>甲.貳.一.2</t>
  </si>
  <si>
    <t>甲.貳.一.3</t>
  </si>
  <si>
    <t>貼壁式房間編號標示</t>
    <phoneticPr fontId="8" type="noConversion"/>
  </si>
  <si>
    <t>水晶中文立體字</t>
    <phoneticPr fontId="8" type="noConversion"/>
  </si>
  <si>
    <t>水晶英文立體字</t>
    <phoneticPr fontId="8" type="noConversion"/>
  </si>
  <si>
    <t>排水工程</t>
    <phoneticPr fontId="8" type="noConversion"/>
  </si>
  <si>
    <t>管路試水試壓</t>
    <phoneticPr fontId="8" type="noConversion"/>
  </si>
  <si>
    <t>甲.陸.二.4</t>
  </si>
  <si>
    <t>甲.陸.二.8</t>
  </si>
  <si>
    <t>報價數量計算表</t>
    <phoneticPr fontId="8" type="noConversion"/>
  </si>
  <si>
    <t>1對1分離吊隱式空調10KW</t>
    <phoneticPr fontId="8" type="noConversion"/>
  </si>
  <si>
    <t>甲.陸.一.1</t>
    <phoneticPr fontId="8" type="noConversion"/>
  </si>
  <si>
    <t>甲.陸.一.2</t>
    <phoneticPr fontId="8" type="noConversion"/>
  </si>
  <si>
    <t>甲.陸.一.3</t>
    <phoneticPr fontId="8" type="noConversion"/>
  </si>
  <si>
    <t>1對1分離吊隱式調空調4.0KW</t>
    <phoneticPr fontId="8" type="noConversion"/>
  </si>
  <si>
    <t>1對1分離吊隱式空調11.2KW</t>
    <phoneticPr fontId="8" type="noConversion"/>
  </si>
  <si>
    <r>
      <t>室外機安裝(</t>
    </r>
    <r>
      <rPr>
        <sz val="10"/>
        <rFont val="微軟正黑體"/>
        <family val="2"/>
        <charset val="136"/>
      </rPr>
      <t>含安裝架及隔柵修飾)</t>
    </r>
    <phoneticPr fontId="8" type="noConversion"/>
  </si>
  <si>
    <t>空調電源迴路</t>
    <phoneticPr fontId="8" type="noConversion"/>
  </si>
  <si>
    <t>甲.肆.8</t>
  </si>
  <si>
    <t>含配電盤</t>
    <phoneticPr fontId="8" type="noConversion"/>
  </si>
  <si>
    <t>含燈具</t>
    <phoneticPr fontId="8" type="noConversion"/>
  </si>
  <si>
    <t>甲.肆.9</t>
  </si>
  <si>
    <t>水槽感應式龍頭</t>
    <phoneticPr fontId="8" type="noConversion"/>
  </si>
  <si>
    <t>凱薩、HCG或同等品</t>
    <phoneticPr fontId="8" type="noConversion"/>
  </si>
  <si>
    <t>開關配置</t>
    <phoneticPr fontId="8" type="noConversion"/>
  </si>
  <si>
    <t>甲.肆.10</t>
  </si>
  <si>
    <t>廠商數量計算</t>
    <phoneticPr fontId="8" type="noConversion"/>
  </si>
  <si>
    <t>不鏽鋼框雙開自動玻璃門</t>
    <phoneticPr fontId="8" type="noConversion"/>
  </si>
  <si>
    <t>甲.叁.五.1</t>
    <phoneticPr fontId="8" type="noConversion"/>
  </si>
  <si>
    <t>含門機鎖、玻璃貼</t>
    <phoneticPr fontId="8" type="noConversion"/>
  </si>
  <si>
    <t>既有冷氣設備.管線修改調整</t>
    <phoneticPr fontId="8" type="noConversion"/>
  </si>
  <si>
    <t>管線穿牆防火填塞</t>
    <phoneticPr fontId="8" type="noConversion"/>
  </si>
  <si>
    <t>甲.肆.11</t>
  </si>
  <si>
    <t>緊急照明燈安裝施作工料費</t>
    <phoneticPr fontId="8" type="noConversion"/>
  </si>
  <si>
    <t>逃生指示設備含施工料費</t>
    <phoneticPr fontId="8" type="noConversion"/>
  </si>
  <si>
    <t>甲.伍.三.3</t>
  </si>
  <si>
    <t>110V插座配置</t>
    <phoneticPr fontId="8" type="noConversion"/>
  </si>
  <si>
    <t>甲.伍.五</t>
    <phoneticPr fontId="9" type="noConversion"/>
  </si>
  <si>
    <t>排煙設備工程</t>
    <phoneticPr fontId="8" type="noConversion"/>
  </si>
  <si>
    <t>甲.伍.五.1</t>
    <phoneticPr fontId="9" type="noConversion"/>
  </si>
  <si>
    <t>甲.伍.五.2</t>
    <phoneticPr fontId="9" type="noConversion"/>
  </si>
  <si>
    <t>排先風管修改含施工料費</t>
    <phoneticPr fontId="8" type="noConversion"/>
  </si>
  <si>
    <t>新設排煙閘門含設備安裝</t>
    <phoneticPr fontId="8" type="noConversion"/>
  </si>
  <si>
    <t>甲.伍.五.3</t>
    <phoneticPr fontId="9" type="noConversion"/>
  </si>
  <si>
    <t>新設排煙格柵及安裝</t>
    <phoneticPr fontId="8" type="noConversion"/>
  </si>
  <si>
    <t>{{工程名稱}}</t>
    <phoneticPr fontId="9" type="noConversion"/>
  </si>
  <si>
    <t>{{業主名稱}}</t>
    <phoneticPr fontId="9" type="noConversion"/>
  </si>
  <si>
    <t>{{工程地點}}</t>
    <phoneticPr fontId="9" type="noConversion"/>
  </si>
  <si>
    <t>{{工程編號}}</t>
  </si>
  <si>
    <t>{{工程名稱}}機電工程標單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</si>
</sst>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_-* #,##0_-;\-* #,##0_-;_-* &quot;-&quot;??_-;_-@_-"/>
    <numFmt numFmtId="178" formatCode="#,##0_);[Red]\(#,##0\)"/>
    <numFmt numFmtId="179" formatCode="0.0%"/>
    <numFmt numFmtId="180" formatCode="_-* #,##0.0_-;\-* #,##0.0_-;_-* &quot;-&quot;?_-;_-@_-"/>
    <numFmt numFmtId="181" formatCode="_-* #,##0.0_-;\-* #,##0.0_-;_-* &quot;-&quot;??_-;_-@_-"/>
  </numFmts>
  <fonts count="4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Helv"/>
      <family val="2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color indexed="48"/>
      <name val="微軟正黑體"/>
      <family val="2"/>
      <charset val="136"/>
    </font>
    <font>
      <sz val="6"/>
      <name val="微軟正黑體"/>
      <family val="2"/>
      <charset val="136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9"/>
      <name val="微軟正黑體"/>
      <family val="2"/>
      <charset val="136"/>
    </font>
    <font>
      <sz val="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1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name val="?"/>
      <family val="3"/>
      <charset val="136"/>
    </font>
    <font>
      <sz val="12"/>
      <name val="Courier"/>
      <family val="3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70C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9"/>
      <color rgb="FF0070C0"/>
      <name val="微軟正黑體"/>
      <family val="2"/>
      <charset val="136"/>
    </font>
    <font>
      <sz val="10"/>
      <color rgb="FF0070C0"/>
      <name val="微軟正黑體"/>
      <family val="2"/>
      <charset val="136"/>
    </font>
  </fonts>
  <fills count="2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9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>
      <alignment vertical="center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/>
    <xf numFmtId="0" fontId="16" fillId="0" borderId="0">
      <alignment vertical="center"/>
    </xf>
    <xf numFmtId="0" fontId="1" fillId="0" borderId="0"/>
    <xf numFmtId="0" fontId="1" fillId="0" borderId="0"/>
    <xf numFmtId="0" fontId="16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23" applyNumberFormat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1" fillId="5" borderId="2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23" applyNumberFormat="0" applyAlignment="0" applyProtection="0">
      <alignment vertical="center"/>
    </xf>
    <xf numFmtId="0" fontId="29" fillId="13" borderId="29" applyNumberFormat="0" applyAlignment="0" applyProtection="0">
      <alignment vertical="center"/>
    </xf>
    <xf numFmtId="0" fontId="30" fillId="18" borderId="30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3" fillId="0" borderId="5" xfId="1" applyFont="1" applyBorder="1"/>
    <xf numFmtId="0" fontId="3" fillId="0" borderId="6" xfId="1" applyFont="1" applyBorder="1"/>
    <xf numFmtId="0" fontId="6" fillId="0" borderId="15" xfId="1" applyFont="1" applyBorder="1"/>
    <xf numFmtId="0" fontId="11" fillId="0" borderId="0" xfId="0" applyFont="1">
      <alignment vertical="center"/>
    </xf>
    <xf numFmtId="0" fontId="3" fillId="0" borderId="0" xfId="0" applyFont="1" applyAlignment="1"/>
    <xf numFmtId="0" fontId="3" fillId="0" borderId="9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78" fontId="3" fillId="0" borderId="3" xfId="1" applyNumberFormat="1" applyFont="1" applyBorder="1" applyAlignment="1">
      <alignment horizontal="center"/>
    </xf>
    <xf numFmtId="0" fontId="3" fillId="0" borderId="0" xfId="1" applyFont="1"/>
    <xf numFmtId="0" fontId="14" fillId="0" borderId="11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178" fontId="14" fillId="0" borderId="2" xfId="1" applyNumberFormat="1" applyFont="1" applyBorder="1" applyAlignment="1">
      <alignment horizontal="center"/>
    </xf>
    <xf numFmtId="178" fontId="3" fillId="0" borderId="0" xfId="1" applyNumberFormat="1" applyFont="1"/>
    <xf numFmtId="177" fontId="3" fillId="0" borderId="3" xfId="4" applyNumberFormat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177" fontId="14" fillId="0" borderId="2" xfId="4" applyNumberFormat="1" applyFont="1" applyBorder="1" applyAlignment="1">
      <alignment horizontal="center"/>
    </xf>
    <xf numFmtId="0" fontId="14" fillId="0" borderId="12" xfId="1" applyFont="1" applyBorder="1" applyAlignment="1">
      <alignment horizontal="center"/>
    </xf>
    <xf numFmtId="0" fontId="3" fillId="0" borderId="0" xfId="1" applyFont="1" applyAlignment="1">
      <alignment horizontal="center"/>
    </xf>
    <xf numFmtId="177" fontId="11" fillId="0" borderId="0" xfId="4" applyNumberFormat="1" applyFont="1"/>
    <xf numFmtId="0" fontId="3" fillId="0" borderId="0" xfId="0" applyFont="1">
      <alignment vertical="center"/>
    </xf>
    <xf numFmtId="0" fontId="3" fillId="0" borderId="4" xfId="1" applyFont="1" applyBorder="1" applyAlignment="1">
      <alignment horizont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13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4" xfId="1" applyFont="1" applyBorder="1" applyAlignment="1">
      <alignment horizontal="left" wrapText="1"/>
    </xf>
    <xf numFmtId="0" fontId="0" fillId="0" borderId="33" xfId="0" applyBorder="1">
      <alignment vertical="center"/>
    </xf>
    <xf numFmtId="177" fontId="3" fillId="0" borderId="0" xfId="93" applyNumberFormat="1" applyFont="1" applyAlignment="1"/>
    <xf numFmtId="0" fontId="3" fillId="20" borderId="4" xfId="1" applyFont="1" applyFill="1" applyBorder="1" applyAlignment="1">
      <alignment horizontal="left"/>
    </xf>
    <xf numFmtId="0" fontId="3" fillId="20" borderId="4" xfId="1" applyFont="1" applyFill="1" applyBorder="1" applyAlignment="1">
      <alignment horizontal="center"/>
    </xf>
    <xf numFmtId="176" fontId="3" fillId="0" borderId="13" xfId="1" applyNumberFormat="1" applyFont="1" applyBorder="1" applyAlignment="1">
      <alignment horizontal="left"/>
    </xf>
    <xf numFmtId="178" fontId="3" fillId="0" borderId="4" xfId="1" applyNumberFormat="1" applyFont="1" applyBorder="1" applyAlignment="1">
      <alignment horizontal="right"/>
    </xf>
    <xf numFmtId="179" fontId="36" fillId="0" borderId="14" xfId="1" applyNumberFormat="1" applyFont="1" applyBorder="1"/>
    <xf numFmtId="0" fontId="15" fillId="0" borderId="4" xfId="1" applyFont="1" applyBorder="1" applyAlignment="1">
      <alignment horizontal="left"/>
    </xf>
    <xf numFmtId="178" fontId="15" fillId="0" borderId="4" xfId="1" applyNumberFormat="1" applyFont="1" applyBorder="1" applyAlignment="1">
      <alignment horizontal="right"/>
    </xf>
    <xf numFmtId="176" fontId="3" fillId="20" borderId="13" xfId="1" applyNumberFormat="1" applyFont="1" applyFill="1" applyBorder="1" applyAlignment="1">
      <alignment horizontal="left"/>
    </xf>
    <xf numFmtId="178" fontId="3" fillId="20" borderId="4" xfId="1" applyNumberFormat="1" applyFont="1" applyFill="1" applyBorder="1" applyAlignment="1">
      <alignment horizontal="right"/>
    </xf>
    <xf numFmtId="178" fontId="15" fillId="20" borderId="4" xfId="1" applyNumberFormat="1" applyFont="1" applyFill="1" applyBorder="1" applyAlignment="1">
      <alignment horizontal="right"/>
    </xf>
    <xf numFmtId="179" fontId="36" fillId="20" borderId="14" xfId="1" applyNumberFormat="1" applyFont="1" applyFill="1" applyBorder="1"/>
    <xf numFmtId="9" fontId="3" fillId="0" borderId="0" xfId="94" applyFont="1" applyAlignment="1"/>
    <xf numFmtId="179" fontId="4" fillId="0" borderId="14" xfId="1" applyNumberFormat="1" applyFont="1" applyBorder="1"/>
    <xf numFmtId="179" fontId="4" fillId="0" borderId="14" xfId="1" applyNumberFormat="1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21" borderId="0" xfId="0" applyFill="1">
      <alignment vertical="center"/>
    </xf>
    <xf numFmtId="0" fontId="0" fillId="0" borderId="6" xfId="0" applyBorder="1" applyAlignment="1">
      <alignment horizontal="center" vertical="center"/>
    </xf>
    <xf numFmtId="0" fontId="0" fillId="21" borderId="7" xfId="0" applyFill="1" applyBorder="1">
      <alignment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center" vertical="center" wrapText="1"/>
    </xf>
    <xf numFmtId="0" fontId="35" fillId="21" borderId="34" xfId="0" applyFont="1" applyFill="1" applyBorder="1">
      <alignment vertical="center"/>
    </xf>
    <xf numFmtId="0" fontId="35" fillId="21" borderId="35" xfId="0" applyFont="1" applyFill="1" applyBorder="1">
      <alignment vertical="center"/>
    </xf>
    <xf numFmtId="0" fontId="35" fillId="21" borderId="38" xfId="0" applyFont="1" applyFill="1" applyBorder="1">
      <alignment vertical="center"/>
    </xf>
    <xf numFmtId="0" fontId="35" fillId="21" borderId="7" xfId="0" applyFont="1" applyFill="1" applyBorder="1">
      <alignment vertical="center"/>
    </xf>
    <xf numFmtId="0" fontId="35" fillId="21" borderId="33" xfId="0" applyFont="1" applyFill="1" applyBorder="1">
      <alignment vertical="center"/>
    </xf>
    <xf numFmtId="0" fontId="35" fillId="21" borderId="0" xfId="0" applyFont="1" applyFill="1">
      <alignment vertical="center"/>
    </xf>
    <xf numFmtId="0" fontId="0" fillId="22" borderId="33" xfId="0" applyFill="1" applyBorder="1">
      <alignment vertical="center"/>
    </xf>
    <xf numFmtId="0" fontId="0" fillId="22" borderId="7" xfId="0" applyFill="1" applyBorder="1">
      <alignment vertical="center"/>
    </xf>
    <xf numFmtId="0" fontId="0" fillId="22" borderId="8" xfId="0" applyFill="1" applyBorder="1">
      <alignment vertical="center"/>
    </xf>
    <xf numFmtId="0" fontId="0" fillId="22" borderId="0" xfId="0" applyFill="1">
      <alignment vertical="center"/>
    </xf>
    <xf numFmtId="177" fontId="3" fillId="0" borderId="0" xfId="93" applyNumberFormat="1" applyFont="1">
      <alignment vertical="center"/>
    </xf>
    <xf numFmtId="177" fontId="11" fillId="0" borderId="0" xfId="93" applyNumberFormat="1" applyFont="1">
      <alignment vertical="center"/>
    </xf>
    <xf numFmtId="177" fontId="15" fillId="0" borderId="0" xfId="93" applyNumberFormat="1" applyFont="1" applyAlignment="1"/>
    <xf numFmtId="9" fontId="15" fillId="0" borderId="0" xfId="94" applyFont="1" applyAlignment="1"/>
    <xf numFmtId="180" fontId="3" fillId="0" borderId="0" xfId="1" applyNumberFormat="1" applyFont="1"/>
    <xf numFmtId="179" fontId="39" fillId="0" borderId="14" xfId="1" applyNumberFormat="1" applyFont="1" applyBorder="1" applyAlignment="1">
      <alignment wrapText="1"/>
    </xf>
    <xf numFmtId="181" fontId="3" fillId="0" borderId="0" xfId="93" applyNumberFormat="1" applyFont="1" applyAlignment="1"/>
    <xf numFmtId="0" fontId="0" fillId="21" borderId="34" xfId="0" applyFill="1" applyBorder="1">
      <alignment vertical="center"/>
    </xf>
    <xf numFmtId="0" fontId="0" fillId="21" borderId="39" xfId="0" applyFill="1" applyBorder="1">
      <alignment vertical="center"/>
    </xf>
    <xf numFmtId="0" fontId="35" fillId="21" borderId="39" xfId="0" applyFont="1" applyFill="1" applyBorder="1">
      <alignment vertical="center"/>
    </xf>
    <xf numFmtId="0" fontId="4" fillId="0" borderId="4" xfId="1" applyFont="1" applyBorder="1" applyAlignment="1">
      <alignment horizontal="center"/>
    </xf>
    <xf numFmtId="178" fontId="15" fillId="0" borderId="0" xfId="1" applyNumberFormat="1" applyFont="1" applyAlignment="1">
      <alignment horizontal="right"/>
    </xf>
    <xf numFmtId="179" fontId="40" fillId="0" borderId="14" xfId="1" applyNumberFormat="1" applyFont="1" applyBorder="1"/>
    <xf numFmtId="177" fontId="3" fillId="0" borderId="0" xfId="93" applyNumberFormat="1" applyFont="1" applyBorder="1" applyAlignment="1"/>
    <xf numFmtId="178" fontId="3" fillId="20" borderId="14" xfId="1" applyNumberFormat="1" applyFont="1" applyFill="1" applyBorder="1" applyAlignment="1">
      <alignment horizontal="right"/>
    </xf>
    <xf numFmtId="176" fontId="3" fillId="0" borderId="40" xfId="1" applyNumberFormat="1" applyFont="1" applyBorder="1" applyAlignment="1">
      <alignment horizontal="left"/>
    </xf>
    <xf numFmtId="0" fontId="3" fillId="0" borderId="41" xfId="1" applyFont="1" applyBorder="1" applyAlignment="1">
      <alignment horizontal="left"/>
    </xf>
    <xf numFmtId="0" fontId="3" fillId="0" borderId="41" xfId="1" applyFont="1" applyBorder="1" applyAlignment="1">
      <alignment horizontal="center"/>
    </xf>
    <xf numFmtId="178" fontId="3" fillId="0" borderId="41" xfId="1" applyNumberFormat="1" applyFont="1" applyBorder="1" applyAlignment="1">
      <alignment horizontal="right"/>
    </xf>
    <xf numFmtId="179" fontId="4" fillId="0" borderId="42" xfId="1" applyNumberFormat="1" applyFont="1" applyBorder="1" applyAlignment="1">
      <alignment wrapText="1"/>
    </xf>
    <xf numFmtId="49" fontId="5" fillId="0" borderId="7" xfId="1" applyNumberFormat="1" applyFont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5" fillId="0" borderId="8" xfId="1" applyNumberFormat="1" applyFont="1" applyBorder="1" applyAlignment="1">
      <alignment horizontal="center" vertical="center"/>
    </xf>
    <xf numFmtId="0" fontId="12" fillId="0" borderId="31" xfId="0" applyFont="1" applyBorder="1" applyAlignment="1"/>
    <xf numFmtId="0" fontId="13" fillId="0" borderId="31" xfId="0" applyFont="1" applyBorder="1" applyAlignment="1">
      <alignment shrinkToFit="1"/>
    </xf>
    <xf numFmtId="0" fontId="13" fillId="0" borderId="32" xfId="0" applyFont="1" applyBorder="1" applyAlignment="1">
      <alignment shrinkToFit="1"/>
    </xf>
    <xf numFmtId="0" fontId="12" fillId="0" borderId="16" xfId="0" applyFont="1" applyBorder="1" applyAlignment="1"/>
    <xf numFmtId="0" fontId="13" fillId="0" borderId="16" xfId="0" applyFont="1" applyBorder="1" applyAlignment="1">
      <alignment wrapText="1" shrinkToFit="1"/>
    </xf>
    <xf numFmtId="0" fontId="13" fillId="0" borderId="17" xfId="0" applyFont="1" applyBorder="1" applyAlignment="1">
      <alignment wrapText="1" shrinkToFit="1"/>
    </xf>
    <xf numFmtId="0" fontId="13" fillId="0" borderId="16" xfId="0" applyFont="1" applyBorder="1" applyAlignment="1">
      <alignment shrinkToFit="1"/>
    </xf>
    <xf numFmtId="0" fontId="13" fillId="0" borderId="17" xfId="0" applyFont="1" applyBorder="1" applyAlignment="1">
      <alignment shrinkToFit="1"/>
    </xf>
    <xf numFmtId="0" fontId="12" fillId="0" borderId="19" xfId="0" applyFont="1" applyBorder="1" applyAlignment="1"/>
    <xf numFmtId="49" fontId="13" fillId="0" borderId="19" xfId="0" applyNumberFormat="1" applyFont="1" applyBorder="1" applyAlignment="1">
      <alignment horizontal="left"/>
    </xf>
    <xf numFmtId="49" fontId="13" fillId="0" borderId="21" xfId="0" applyNumberFormat="1" applyFont="1" applyBorder="1" applyAlignment="1">
      <alignment horizontal="left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95">
    <cellStyle name="_(木作工程)預算990924" xfId="18" xr:uid="{00000000-0005-0000-0000-000000000000}"/>
    <cellStyle name="_Final 鹿草第一次變更設計-2" xfId="19" xr:uid="{00000000-0005-0000-0000-000001000000}"/>
    <cellStyle name="_下橫街職務宿舍(一般工程)預算990930(未壓價格)" xfId="20" xr:uid="{00000000-0005-0000-0000-000002000000}"/>
    <cellStyle name="_下橫街職務宿舍(一般工程)預算991006" xfId="21" xr:uid="{00000000-0005-0000-0000-000003000000}"/>
    <cellStyle name="_大林商圈預算-9906017" xfId="22" xr:uid="{00000000-0005-0000-0000-000004000000}"/>
    <cellStyle name="_自行補修-預算20090820" xfId="23" xr:uid="{00000000-0005-0000-0000-000005000000}"/>
    <cellStyle name="_嘉榮預算書(放腫體檢)991025" xfId="24" xr:uid="{00000000-0005-0000-0000-000006000000}"/>
    <cellStyle name="_嘉榮預算書(直線加速)預算991025" xfId="25" xr:uid="{00000000-0005-0000-0000-000007000000}"/>
    <cellStyle name="_嘉榮預算書(直線加速)預算991105(第三次確認)" xfId="26" xr:uid="{00000000-0005-0000-0000-000008000000}"/>
    <cellStyle name="0,0_x000d__x000a_NA_x000d__x000a_" xfId="11" xr:uid="{00000000-0005-0000-0000-000009000000}"/>
    <cellStyle name="0,0_x000d__x000a_NA_x000d__x000a_ 2" xfId="27" xr:uid="{00000000-0005-0000-0000-00000A000000}"/>
    <cellStyle name="20% - 輔色1 2" xfId="28" xr:uid="{00000000-0005-0000-0000-00000B000000}"/>
    <cellStyle name="20% - 輔色2 2" xfId="29" xr:uid="{00000000-0005-0000-0000-00000C000000}"/>
    <cellStyle name="20% - 輔色3 2" xfId="30" xr:uid="{00000000-0005-0000-0000-00000D000000}"/>
    <cellStyle name="20% - 輔色4 2" xfId="31" xr:uid="{00000000-0005-0000-0000-00000E000000}"/>
    <cellStyle name="20% - 輔色5 2" xfId="32" xr:uid="{00000000-0005-0000-0000-00000F000000}"/>
    <cellStyle name="20% - 輔色6 2" xfId="33" xr:uid="{00000000-0005-0000-0000-000010000000}"/>
    <cellStyle name="40% - 輔色1 2" xfId="34" xr:uid="{00000000-0005-0000-0000-000011000000}"/>
    <cellStyle name="40% - 輔色2 2" xfId="35" xr:uid="{00000000-0005-0000-0000-000012000000}"/>
    <cellStyle name="40% - 輔色3 2" xfId="36" xr:uid="{00000000-0005-0000-0000-000013000000}"/>
    <cellStyle name="40% - 輔色4 2" xfId="37" xr:uid="{00000000-0005-0000-0000-000014000000}"/>
    <cellStyle name="40% - 輔色5 2" xfId="38" xr:uid="{00000000-0005-0000-0000-000015000000}"/>
    <cellStyle name="40% - 輔色6 2" xfId="39" xr:uid="{00000000-0005-0000-0000-000016000000}"/>
    <cellStyle name="60% - 輔色1 2" xfId="40" xr:uid="{00000000-0005-0000-0000-000017000000}"/>
    <cellStyle name="60% - 輔色2 2" xfId="41" xr:uid="{00000000-0005-0000-0000-000018000000}"/>
    <cellStyle name="60% - 輔色3 2" xfId="42" xr:uid="{00000000-0005-0000-0000-000019000000}"/>
    <cellStyle name="60% - 輔色4 2" xfId="43" xr:uid="{00000000-0005-0000-0000-00001A000000}"/>
    <cellStyle name="60% - 輔色5 2" xfId="44" xr:uid="{00000000-0005-0000-0000-00001B000000}"/>
    <cellStyle name="60% - 輔色6 2" xfId="45" xr:uid="{00000000-0005-0000-0000-00001C000000}"/>
    <cellStyle name="s]_x000d__x000a_load=DLGDI.EXE_x000d__x000a_run=_x000d__x000a_NullPort=None_x000d__x000a_device=Brother HL-4,HPPCL,LPT1:_x000d__x000a__x000d__x000a_[Desktop]_x000d__x000a_Wallpaper=C:\WINDOWS\CLOUDS.BMP_x000d_" xfId="46" xr:uid="{00000000-0005-0000-0000-00001D000000}"/>
    <cellStyle name="一般" xfId="0" builtinId="0"/>
    <cellStyle name="一般 12" xfId="47" xr:uid="{00000000-0005-0000-0000-00001F000000}"/>
    <cellStyle name="一般 2" xfId="2" xr:uid="{00000000-0005-0000-0000-000020000000}"/>
    <cellStyle name="一般 2 2" xfId="49" xr:uid="{00000000-0005-0000-0000-000021000000}"/>
    <cellStyle name="一般 2 3" xfId="50" xr:uid="{00000000-0005-0000-0000-000022000000}"/>
    <cellStyle name="一般 2 4" xfId="48" xr:uid="{00000000-0005-0000-0000-000023000000}"/>
    <cellStyle name="一般 2_(木作工程)預算990924" xfId="51" xr:uid="{00000000-0005-0000-0000-000024000000}"/>
    <cellStyle name="一般 3" xfId="1" xr:uid="{00000000-0005-0000-0000-000025000000}"/>
    <cellStyle name="一般 4" xfId="9" xr:uid="{00000000-0005-0000-0000-000026000000}"/>
    <cellStyle name="一般 4 2" xfId="52" xr:uid="{00000000-0005-0000-0000-000027000000}"/>
    <cellStyle name="一般 5" xfId="10" xr:uid="{00000000-0005-0000-0000-000028000000}"/>
    <cellStyle name="一般 5 2" xfId="53" xr:uid="{00000000-0005-0000-0000-000029000000}"/>
    <cellStyle name="一般 6" xfId="12" xr:uid="{00000000-0005-0000-0000-00002A000000}"/>
    <cellStyle name="一般 7" xfId="16" xr:uid="{00000000-0005-0000-0000-00002B000000}"/>
    <cellStyle name="一般 7 2" xfId="54" xr:uid="{00000000-0005-0000-0000-00002C000000}"/>
    <cellStyle name="千分位" xfId="93" builtinId="3"/>
    <cellStyle name="千分位 2" xfId="4" xr:uid="{00000000-0005-0000-0000-00002E000000}"/>
    <cellStyle name="千分位 2 2" xfId="56" xr:uid="{00000000-0005-0000-0000-00002F000000}"/>
    <cellStyle name="千分位 2 3" xfId="89" xr:uid="{00000000-0005-0000-0000-000030000000}"/>
    <cellStyle name="千分位 2 4" xfId="92" xr:uid="{00000000-0005-0000-0000-000031000000}"/>
    <cellStyle name="千分位 3" xfId="3" xr:uid="{00000000-0005-0000-0000-000032000000}"/>
    <cellStyle name="千分位 3 2" xfId="57" xr:uid="{00000000-0005-0000-0000-000033000000}"/>
    <cellStyle name="千分位 3 3" xfId="90" xr:uid="{00000000-0005-0000-0000-000034000000}"/>
    <cellStyle name="千分位 3 4" xfId="91" xr:uid="{00000000-0005-0000-0000-000035000000}"/>
    <cellStyle name="千分位 4" xfId="17" xr:uid="{00000000-0005-0000-0000-000036000000}"/>
    <cellStyle name="千分位 4 2" xfId="58" xr:uid="{00000000-0005-0000-0000-000037000000}"/>
    <cellStyle name="千分位 5" xfId="55" xr:uid="{00000000-0005-0000-0000-000038000000}"/>
    <cellStyle name="千分位 6" xfId="13" xr:uid="{00000000-0005-0000-0000-000039000000}"/>
    <cellStyle name="千分位 6 2" xfId="59" xr:uid="{00000000-0005-0000-0000-00003A000000}"/>
    <cellStyle name="千分位 7" xfId="15" xr:uid="{00000000-0005-0000-0000-00003B000000}"/>
    <cellStyle name="千分位 8" xfId="88" xr:uid="{00000000-0005-0000-0000-00003C000000}"/>
    <cellStyle name="千分位 9" xfId="14" xr:uid="{00000000-0005-0000-0000-00003D000000}"/>
    <cellStyle name="千分位 9 2" xfId="60" xr:uid="{00000000-0005-0000-0000-00003E000000}"/>
    <cellStyle name="千分位[0] 2" xfId="61" xr:uid="{00000000-0005-0000-0000-00003F000000}"/>
    <cellStyle name="千分位[0] 84" xfId="62" xr:uid="{00000000-0005-0000-0000-000040000000}"/>
    <cellStyle name="中等 2" xfId="63" xr:uid="{00000000-0005-0000-0000-000041000000}"/>
    <cellStyle name="合計 2" xfId="64" xr:uid="{00000000-0005-0000-0000-000042000000}"/>
    <cellStyle name="好 2" xfId="65" xr:uid="{00000000-0005-0000-0000-000043000000}"/>
    <cellStyle name="好_單價分析" xfId="66" xr:uid="{00000000-0005-0000-0000-000044000000}"/>
    <cellStyle name="百分比" xfId="94" builtinId="5"/>
    <cellStyle name="百分比 2" xfId="6" xr:uid="{00000000-0005-0000-0000-000046000000}"/>
    <cellStyle name="百分比 3" xfId="5" xr:uid="{00000000-0005-0000-0000-000047000000}"/>
    <cellStyle name="計算方式 2" xfId="67" xr:uid="{00000000-0005-0000-0000-000048000000}"/>
    <cellStyle name="連結的儲存格 2" xfId="68" xr:uid="{00000000-0005-0000-0000-000049000000}"/>
    <cellStyle name="備註 2" xfId="7" xr:uid="{00000000-0005-0000-0000-00004A000000}"/>
    <cellStyle name="備註 3" xfId="69" xr:uid="{00000000-0005-0000-0000-00004B000000}"/>
    <cellStyle name="說明文字 2" xfId="70" xr:uid="{00000000-0005-0000-0000-00004C000000}"/>
    <cellStyle name="輔色1 2" xfId="71" xr:uid="{00000000-0005-0000-0000-00004D000000}"/>
    <cellStyle name="輔色2 2" xfId="72" xr:uid="{00000000-0005-0000-0000-00004E000000}"/>
    <cellStyle name="輔色3 2" xfId="73" xr:uid="{00000000-0005-0000-0000-00004F000000}"/>
    <cellStyle name="輔色4 2" xfId="74" xr:uid="{00000000-0005-0000-0000-000050000000}"/>
    <cellStyle name="輔色5 2" xfId="75" xr:uid="{00000000-0005-0000-0000-000051000000}"/>
    <cellStyle name="輔色6 2" xfId="76" xr:uid="{00000000-0005-0000-0000-000052000000}"/>
    <cellStyle name="標題 1 2" xfId="78" xr:uid="{00000000-0005-0000-0000-000053000000}"/>
    <cellStyle name="標題 2 2" xfId="79" xr:uid="{00000000-0005-0000-0000-000054000000}"/>
    <cellStyle name="標題 3 2" xfId="80" xr:uid="{00000000-0005-0000-0000-000055000000}"/>
    <cellStyle name="標題 4 2" xfId="81" xr:uid="{00000000-0005-0000-0000-000056000000}"/>
    <cellStyle name="標題 5" xfId="77" xr:uid="{00000000-0005-0000-0000-000057000000}"/>
    <cellStyle name="樣式 1" xfId="8" xr:uid="{00000000-0005-0000-0000-000058000000}"/>
    <cellStyle name="輸入 2" xfId="82" xr:uid="{00000000-0005-0000-0000-000059000000}"/>
    <cellStyle name="輸出 2" xfId="83" xr:uid="{00000000-0005-0000-0000-00005A000000}"/>
    <cellStyle name="檢查儲存格 2" xfId="84" xr:uid="{00000000-0005-0000-0000-00005B000000}"/>
    <cellStyle name="壞 2" xfId="85" xr:uid="{00000000-0005-0000-0000-00005C000000}"/>
    <cellStyle name="壞_單價分析" xfId="86" xr:uid="{00000000-0005-0000-0000-00005D000000}"/>
    <cellStyle name="警告文字 2" xfId="87" xr:uid="{00000000-0005-0000-0000-00005E000000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15240</xdr:rowOff>
    </xdr:from>
    <xdr:to>
      <xdr:col>7</xdr:col>
      <xdr:colOff>15240</xdr:colOff>
      <xdr:row>1</xdr:row>
      <xdr:rowOff>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25FB434-5401-4E2A-B67C-364689765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0"/>
          <a:ext cx="7543800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15240</xdr:rowOff>
    </xdr:from>
    <xdr:to>
      <xdr:col>7</xdr:col>
      <xdr:colOff>7620</xdr:colOff>
      <xdr:row>0</xdr:row>
      <xdr:rowOff>777240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00CB80D-A5E8-40DB-8BCE-2A7AD85ED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0"/>
          <a:ext cx="75438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N157"/>
  <sheetViews>
    <sheetView tabSelected="1" view="pageBreakPreview" topLeftCell="A12" zoomScaleNormal="100" zoomScaleSheetLayoutView="100" workbookViewId="0">
      <selection activeCell="H47" sqref="H47"/>
    </sheetView>
  </sheetViews>
  <sheetFormatPr defaultRowHeight="15.6"/>
  <cols>
    <col min="1" max="1" width="11.44140625" style="18" customWidth="1"/>
    <col min="2" max="2" width="34.109375" style="9" customWidth="1"/>
    <col min="3" max="3" width="6.6640625" style="9" customWidth="1"/>
    <col min="4" max="4" width="9.77734375" style="19" customWidth="1"/>
    <col min="5" max="5" width="13.21875" style="13" customWidth="1"/>
    <col min="6" max="6" width="15.109375" style="13" customWidth="1"/>
    <col min="7" max="7" width="19.88671875" style="9" customWidth="1"/>
    <col min="8" max="8" width="19.44140625" style="9" bestFit="1" customWidth="1"/>
    <col min="9" max="9" width="15.33203125" style="9" customWidth="1"/>
    <col min="10" max="10" width="15.88671875" style="9" bestFit="1" customWidth="1"/>
    <col min="11" max="11" width="17.88671875" style="9" bestFit="1" customWidth="1"/>
    <col min="12" max="12" width="14.44140625" style="9" customWidth="1"/>
    <col min="13" max="13" width="11" style="9" bestFit="1" customWidth="1"/>
    <col min="14" max="14" width="14.33203125" style="9" bestFit="1" customWidth="1"/>
    <col min="15" max="15" width="11" style="9" bestFit="1" customWidth="1"/>
    <col min="16" max="225" width="8.88671875" style="9"/>
    <col min="226" max="226" width="5.6640625" style="9" customWidth="1"/>
    <col min="227" max="227" width="32.77734375" style="9" customWidth="1"/>
    <col min="228" max="229" width="6.6640625" style="9" customWidth="1"/>
    <col min="230" max="231" width="12.6640625" style="9" customWidth="1"/>
    <col min="232" max="232" width="22.33203125" style="9" customWidth="1"/>
    <col min="233" max="233" width="10.33203125" style="9" bestFit="1" customWidth="1"/>
    <col min="234" max="481" width="8.88671875" style="9"/>
    <col min="482" max="482" width="5.6640625" style="9" customWidth="1"/>
    <col min="483" max="483" width="32.77734375" style="9" customWidth="1"/>
    <col min="484" max="485" width="6.6640625" style="9" customWidth="1"/>
    <col min="486" max="487" width="12.6640625" style="9" customWidth="1"/>
    <col min="488" max="488" width="22.33203125" style="9" customWidth="1"/>
    <col min="489" max="489" width="10.33203125" style="9" bestFit="1" customWidth="1"/>
    <col min="490" max="737" width="8.88671875" style="9"/>
    <col min="738" max="738" width="5.6640625" style="9" customWidth="1"/>
    <col min="739" max="739" width="32.77734375" style="9" customWidth="1"/>
    <col min="740" max="741" width="6.6640625" style="9" customWidth="1"/>
    <col min="742" max="743" width="12.6640625" style="9" customWidth="1"/>
    <col min="744" max="744" width="22.33203125" style="9" customWidth="1"/>
    <col min="745" max="745" width="10.33203125" style="9" bestFit="1" customWidth="1"/>
    <col min="746" max="993" width="8.88671875" style="9"/>
    <col min="994" max="994" width="5.6640625" style="9" customWidth="1"/>
    <col min="995" max="995" width="32.77734375" style="9" customWidth="1"/>
    <col min="996" max="997" width="6.6640625" style="9" customWidth="1"/>
    <col min="998" max="999" width="12.6640625" style="9" customWidth="1"/>
    <col min="1000" max="1000" width="22.33203125" style="9" customWidth="1"/>
    <col min="1001" max="1001" width="10.33203125" style="9" bestFit="1" customWidth="1"/>
    <col min="1002" max="1249" width="8.88671875" style="9"/>
    <col min="1250" max="1250" width="5.6640625" style="9" customWidth="1"/>
    <col min="1251" max="1251" width="32.77734375" style="9" customWidth="1"/>
    <col min="1252" max="1253" width="6.6640625" style="9" customWidth="1"/>
    <col min="1254" max="1255" width="12.6640625" style="9" customWidth="1"/>
    <col min="1256" max="1256" width="22.33203125" style="9" customWidth="1"/>
    <col min="1257" max="1257" width="10.33203125" style="9" bestFit="1" customWidth="1"/>
    <col min="1258" max="1505" width="8.88671875" style="9"/>
    <col min="1506" max="1506" width="5.6640625" style="9" customWidth="1"/>
    <col min="1507" max="1507" width="32.77734375" style="9" customWidth="1"/>
    <col min="1508" max="1509" width="6.6640625" style="9" customWidth="1"/>
    <col min="1510" max="1511" width="12.6640625" style="9" customWidth="1"/>
    <col min="1512" max="1512" width="22.33203125" style="9" customWidth="1"/>
    <col min="1513" max="1513" width="10.33203125" style="9" bestFit="1" customWidth="1"/>
    <col min="1514" max="1761" width="8.88671875" style="9"/>
    <col min="1762" max="1762" width="5.6640625" style="9" customWidth="1"/>
    <col min="1763" max="1763" width="32.77734375" style="9" customWidth="1"/>
    <col min="1764" max="1765" width="6.6640625" style="9" customWidth="1"/>
    <col min="1766" max="1767" width="12.6640625" style="9" customWidth="1"/>
    <col min="1768" max="1768" width="22.33203125" style="9" customWidth="1"/>
    <col min="1769" max="1769" width="10.33203125" style="9" bestFit="1" customWidth="1"/>
    <col min="1770" max="2017" width="8.88671875" style="9"/>
    <col min="2018" max="2018" width="5.6640625" style="9" customWidth="1"/>
    <col min="2019" max="2019" width="32.77734375" style="9" customWidth="1"/>
    <col min="2020" max="2021" width="6.6640625" style="9" customWidth="1"/>
    <col min="2022" max="2023" width="12.6640625" style="9" customWidth="1"/>
    <col min="2024" max="2024" width="22.33203125" style="9" customWidth="1"/>
    <col min="2025" max="2025" width="10.33203125" style="9" bestFit="1" customWidth="1"/>
    <col min="2026" max="2273" width="8.88671875" style="9"/>
    <col min="2274" max="2274" width="5.6640625" style="9" customWidth="1"/>
    <col min="2275" max="2275" width="32.77734375" style="9" customWidth="1"/>
    <col min="2276" max="2277" width="6.6640625" style="9" customWidth="1"/>
    <col min="2278" max="2279" width="12.6640625" style="9" customWidth="1"/>
    <col min="2280" max="2280" width="22.33203125" style="9" customWidth="1"/>
    <col min="2281" max="2281" width="10.33203125" style="9" bestFit="1" customWidth="1"/>
    <col min="2282" max="2529" width="8.88671875" style="9"/>
    <col min="2530" max="2530" width="5.6640625" style="9" customWidth="1"/>
    <col min="2531" max="2531" width="32.77734375" style="9" customWidth="1"/>
    <col min="2532" max="2533" width="6.6640625" style="9" customWidth="1"/>
    <col min="2534" max="2535" width="12.6640625" style="9" customWidth="1"/>
    <col min="2536" max="2536" width="22.33203125" style="9" customWidth="1"/>
    <col min="2537" max="2537" width="10.33203125" style="9" bestFit="1" customWidth="1"/>
    <col min="2538" max="2785" width="8.88671875" style="9"/>
    <col min="2786" max="2786" width="5.6640625" style="9" customWidth="1"/>
    <col min="2787" max="2787" width="32.77734375" style="9" customWidth="1"/>
    <col min="2788" max="2789" width="6.6640625" style="9" customWidth="1"/>
    <col min="2790" max="2791" width="12.6640625" style="9" customWidth="1"/>
    <col min="2792" max="2792" width="22.33203125" style="9" customWidth="1"/>
    <col min="2793" max="2793" width="10.33203125" style="9" bestFit="1" customWidth="1"/>
    <col min="2794" max="3041" width="8.88671875" style="9"/>
    <col min="3042" max="3042" width="5.6640625" style="9" customWidth="1"/>
    <col min="3043" max="3043" width="32.77734375" style="9" customWidth="1"/>
    <col min="3044" max="3045" width="6.6640625" style="9" customWidth="1"/>
    <col min="3046" max="3047" width="12.6640625" style="9" customWidth="1"/>
    <col min="3048" max="3048" width="22.33203125" style="9" customWidth="1"/>
    <col min="3049" max="3049" width="10.33203125" style="9" bestFit="1" customWidth="1"/>
    <col min="3050" max="3297" width="8.88671875" style="9"/>
    <col min="3298" max="3298" width="5.6640625" style="9" customWidth="1"/>
    <col min="3299" max="3299" width="32.77734375" style="9" customWidth="1"/>
    <col min="3300" max="3301" width="6.6640625" style="9" customWidth="1"/>
    <col min="3302" max="3303" width="12.6640625" style="9" customWidth="1"/>
    <col min="3304" max="3304" width="22.33203125" style="9" customWidth="1"/>
    <col min="3305" max="3305" width="10.33203125" style="9" bestFit="1" customWidth="1"/>
    <col min="3306" max="3553" width="8.88671875" style="9"/>
    <col min="3554" max="3554" width="5.6640625" style="9" customWidth="1"/>
    <col min="3555" max="3555" width="32.77734375" style="9" customWidth="1"/>
    <col min="3556" max="3557" width="6.6640625" style="9" customWidth="1"/>
    <col min="3558" max="3559" width="12.6640625" style="9" customWidth="1"/>
    <col min="3560" max="3560" width="22.33203125" style="9" customWidth="1"/>
    <col min="3561" max="3561" width="10.33203125" style="9" bestFit="1" customWidth="1"/>
    <col min="3562" max="3809" width="8.88671875" style="9"/>
    <col min="3810" max="3810" width="5.6640625" style="9" customWidth="1"/>
    <col min="3811" max="3811" width="32.77734375" style="9" customWidth="1"/>
    <col min="3812" max="3813" width="6.6640625" style="9" customWidth="1"/>
    <col min="3814" max="3815" width="12.6640625" style="9" customWidth="1"/>
    <col min="3816" max="3816" width="22.33203125" style="9" customWidth="1"/>
    <col min="3817" max="3817" width="10.33203125" style="9" bestFit="1" customWidth="1"/>
    <col min="3818" max="4065" width="8.88671875" style="9"/>
    <col min="4066" max="4066" width="5.6640625" style="9" customWidth="1"/>
    <col min="4067" max="4067" width="32.77734375" style="9" customWidth="1"/>
    <col min="4068" max="4069" width="6.6640625" style="9" customWidth="1"/>
    <col min="4070" max="4071" width="12.6640625" style="9" customWidth="1"/>
    <col min="4072" max="4072" width="22.33203125" style="9" customWidth="1"/>
    <col min="4073" max="4073" width="10.33203125" style="9" bestFit="1" customWidth="1"/>
    <col min="4074" max="4321" width="8.88671875" style="9"/>
    <col min="4322" max="4322" width="5.6640625" style="9" customWidth="1"/>
    <col min="4323" max="4323" width="32.77734375" style="9" customWidth="1"/>
    <col min="4324" max="4325" width="6.6640625" style="9" customWidth="1"/>
    <col min="4326" max="4327" width="12.6640625" style="9" customWidth="1"/>
    <col min="4328" max="4328" width="22.33203125" style="9" customWidth="1"/>
    <col min="4329" max="4329" width="10.33203125" style="9" bestFit="1" customWidth="1"/>
    <col min="4330" max="4577" width="8.88671875" style="9"/>
    <col min="4578" max="4578" width="5.6640625" style="9" customWidth="1"/>
    <col min="4579" max="4579" width="32.77734375" style="9" customWidth="1"/>
    <col min="4580" max="4581" width="6.6640625" style="9" customWidth="1"/>
    <col min="4582" max="4583" width="12.6640625" style="9" customWidth="1"/>
    <col min="4584" max="4584" width="22.33203125" style="9" customWidth="1"/>
    <col min="4585" max="4585" width="10.33203125" style="9" bestFit="1" customWidth="1"/>
    <col min="4586" max="4833" width="8.88671875" style="9"/>
    <col min="4834" max="4834" width="5.6640625" style="9" customWidth="1"/>
    <col min="4835" max="4835" width="32.77734375" style="9" customWidth="1"/>
    <col min="4836" max="4837" width="6.6640625" style="9" customWidth="1"/>
    <col min="4838" max="4839" width="12.6640625" style="9" customWidth="1"/>
    <col min="4840" max="4840" width="22.33203125" style="9" customWidth="1"/>
    <col min="4841" max="4841" width="10.33203125" style="9" bestFit="1" customWidth="1"/>
    <col min="4842" max="5089" width="8.88671875" style="9"/>
    <col min="5090" max="5090" width="5.6640625" style="9" customWidth="1"/>
    <col min="5091" max="5091" width="32.77734375" style="9" customWidth="1"/>
    <col min="5092" max="5093" width="6.6640625" style="9" customWidth="1"/>
    <col min="5094" max="5095" width="12.6640625" style="9" customWidth="1"/>
    <col min="5096" max="5096" width="22.33203125" style="9" customWidth="1"/>
    <col min="5097" max="5097" width="10.33203125" style="9" bestFit="1" customWidth="1"/>
    <col min="5098" max="5345" width="8.88671875" style="9"/>
    <col min="5346" max="5346" width="5.6640625" style="9" customWidth="1"/>
    <col min="5347" max="5347" width="32.77734375" style="9" customWidth="1"/>
    <col min="5348" max="5349" width="6.6640625" style="9" customWidth="1"/>
    <col min="5350" max="5351" width="12.6640625" style="9" customWidth="1"/>
    <col min="5352" max="5352" width="22.33203125" style="9" customWidth="1"/>
    <col min="5353" max="5353" width="10.33203125" style="9" bestFit="1" customWidth="1"/>
    <col min="5354" max="5601" width="8.88671875" style="9"/>
    <col min="5602" max="5602" width="5.6640625" style="9" customWidth="1"/>
    <col min="5603" max="5603" width="32.77734375" style="9" customWidth="1"/>
    <col min="5604" max="5605" width="6.6640625" style="9" customWidth="1"/>
    <col min="5606" max="5607" width="12.6640625" style="9" customWidth="1"/>
    <col min="5608" max="5608" width="22.33203125" style="9" customWidth="1"/>
    <col min="5609" max="5609" width="10.33203125" style="9" bestFit="1" customWidth="1"/>
    <col min="5610" max="5857" width="8.88671875" style="9"/>
    <col min="5858" max="5858" width="5.6640625" style="9" customWidth="1"/>
    <col min="5859" max="5859" width="32.77734375" style="9" customWidth="1"/>
    <col min="5860" max="5861" width="6.6640625" style="9" customWidth="1"/>
    <col min="5862" max="5863" width="12.6640625" style="9" customWidth="1"/>
    <col min="5864" max="5864" width="22.33203125" style="9" customWidth="1"/>
    <col min="5865" max="5865" width="10.33203125" style="9" bestFit="1" customWidth="1"/>
    <col min="5866" max="6113" width="8.88671875" style="9"/>
    <col min="6114" max="6114" width="5.6640625" style="9" customWidth="1"/>
    <col min="6115" max="6115" width="32.77734375" style="9" customWidth="1"/>
    <col min="6116" max="6117" width="6.6640625" style="9" customWidth="1"/>
    <col min="6118" max="6119" width="12.6640625" style="9" customWidth="1"/>
    <col min="6120" max="6120" width="22.33203125" style="9" customWidth="1"/>
    <col min="6121" max="6121" width="10.33203125" style="9" bestFit="1" customWidth="1"/>
    <col min="6122" max="6369" width="8.88671875" style="9"/>
    <col min="6370" max="6370" width="5.6640625" style="9" customWidth="1"/>
    <col min="6371" max="6371" width="32.77734375" style="9" customWidth="1"/>
    <col min="6372" max="6373" width="6.6640625" style="9" customWidth="1"/>
    <col min="6374" max="6375" width="12.6640625" style="9" customWidth="1"/>
    <col min="6376" max="6376" width="22.33203125" style="9" customWidth="1"/>
    <col min="6377" max="6377" width="10.33203125" style="9" bestFit="1" customWidth="1"/>
    <col min="6378" max="6625" width="8.88671875" style="9"/>
    <col min="6626" max="6626" width="5.6640625" style="9" customWidth="1"/>
    <col min="6627" max="6627" width="32.77734375" style="9" customWidth="1"/>
    <col min="6628" max="6629" width="6.6640625" style="9" customWidth="1"/>
    <col min="6630" max="6631" width="12.6640625" style="9" customWidth="1"/>
    <col min="6632" max="6632" width="22.33203125" style="9" customWidth="1"/>
    <col min="6633" max="6633" width="10.33203125" style="9" bestFit="1" customWidth="1"/>
    <col min="6634" max="6881" width="8.88671875" style="9"/>
    <col min="6882" max="6882" width="5.6640625" style="9" customWidth="1"/>
    <col min="6883" max="6883" width="32.77734375" style="9" customWidth="1"/>
    <col min="6884" max="6885" width="6.6640625" style="9" customWidth="1"/>
    <col min="6886" max="6887" width="12.6640625" style="9" customWidth="1"/>
    <col min="6888" max="6888" width="22.33203125" style="9" customWidth="1"/>
    <col min="6889" max="6889" width="10.33203125" style="9" bestFit="1" customWidth="1"/>
    <col min="6890" max="7137" width="8.88671875" style="9"/>
    <col min="7138" max="7138" width="5.6640625" style="9" customWidth="1"/>
    <col min="7139" max="7139" width="32.77734375" style="9" customWidth="1"/>
    <col min="7140" max="7141" width="6.6640625" style="9" customWidth="1"/>
    <col min="7142" max="7143" width="12.6640625" style="9" customWidth="1"/>
    <col min="7144" max="7144" width="22.33203125" style="9" customWidth="1"/>
    <col min="7145" max="7145" width="10.33203125" style="9" bestFit="1" customWidth="1"/>
    <col min="7146" max="7393" width="8.88671875" style="9"/>
    <col min="7394" max="7394" width="5.6640625" style="9" customWidth="1"/>
    <col min="7395" max="7395" width="32.77734375" style="9" customWidth="1"/>
    <col min="7396" max="7397" width="6.6640625" style="9" customWidth="1"/>
    <col min="7398" max="7399" width="12.6640625" style="9" customWidth="1"/>
    <col min="7400" max="7400" width="22.33203125" style="9" customWidth="1"/>
    <col min="7401" max="7401" width="10.33203125" style="9" bestFit="1" customWidth="1"/>
    <col min="7402" max="7649" width="8.88671875" style="9"/>
    <col min="7650" max="7650" width="5.6640625" style="9" customWidth="1"/>
    <col min="7651" max="7651" width="32.77734375" style="9" customWidth="1"/>
    <col min="7652" max="7653" width="6.6640625" style="9" customWidth="1"/>
    <col min="7654" max="7655" width="12.6640625" style="9" customWidth="1"/>
    <col min="7656" max="7656" width="22.33203125" style="9" customWidth="1"/>
    <col min="7657" max="7657" width="10.33203125" style="9" bestFit="1" customWidth="1"/>
    <col min="7658" max="7905" width="8.88671875" style="9"/>
    <col min="7906" max="7906" width="5.6640625" style="9" customWidth="1"/>
    <col min="7907" max="7907" width="32.77734375" style="9" customWidth="1"/>
    <col min="7908" max="7909" width="6.6640625" style="9" customWidth="1"/>
    <col min="7910" max="7911" width="12.6640625" style="9" customWidth="1"/>
    <col min="7912" max="7912" width="22.33203125" style="9" customWidth="1"/>
    <col min="7913" max="7913" width="10.33203125" style="9" bestFit="1" customWidth="1"/>
    <col min="7914" max="8161" width="8.88671875" style="9"/>
    <col min="8162" max="8162" width="5.6640625" style="9" customWidth="1"/>
    <col min="8163" max="8163" width="32.77734375" style="9" customWidth="1"/>
    <col min="8164" max="8165" width="6.6640625" style="9" customWidth="1"/>
    <col min="8166" max="8167" width="12.6640625" style="9" customWidth="1"/>
    <col min="8168" max="8168" width="22.33203125" style="9" customWidth="1"/>
    <col min="8169" max="8169" width="10.33203125" style="9" bestFit="1" customWidth="1"/>
    <col min="8170" max="8417" width="8.88671875" style="9"/>
    <col min="8418" max="8418" width="5.6640625" style="9" customWidth="1"/>
    <col min="8419" max="8419" width="32.77734375" style="9" customWidth="1"/>
    <col min="8420" max="8421" width="6.6640625" style="9" customWidth="1"/>
    <col min="8422" max="8423" width="12.6640625" style="9" customWidth="1"/>
    <col min="8424" max="8424" width="22.33203125" style="9" customWidth="1"/>
    <col min="8425" max="8425" width="10.33203125" style="9" bestFit="1" customWidth="1"/>
    <col min="8426" max="8673" width="8.88671875" style="9"/>
    <col min="8674" max="8674" width="5.6640625" style="9" customWidth="1"/>
    <col min="8675" max="8675" width="32.77734375" style="9" customWidth="1"/>
    <col min="8676" max="8677" width="6.6640625" style="9" customWidth="1"/>
    <col min="8678" max="8679" width="12.6640625" style="9" customWidth="1"/>
    <col min="8680" max="8680" width="22.33203125" style="9" customWidth="1"/>
    <col min="8681" max="8681" width="10.33203125" style="9" bestFit="1" customWidth="1"/>
    <col min="8682" max="8929" width="8.88671875" style="9"/>
    <col min="8930" max="8930" width="5.6640625" style="9" customWidth="1"/>
    <col min="8931" max="8931" width="32.77734375" style="9" customWidth="1"/>
    <col min="8932" max="8933" width="6.6640625" style="9" customWidth="1"/>
    <col min="8934" max="8935" width="12.6640625" style="9" customWidth="1"/>
    <col min="8936" max="8936" width="22.33203125" style="9" customWidth="1"/>
    <col min="8937" max="8937" width="10.33203125" style="9" bestFit="1" customWidth="1"/>
    <col min="8938" max="9185" width="8.88671875" style="9"/>
    <col min="9186" max="9186" width="5.6640625" style="9" customWidth="1"/>
    <col min="9187" max="9187" width="32.77734375" style="9" customWidth="1"/>
    <col min="9188" max="9189" width="6.6640625" style="9" customWidth="1"/>
    <col min="9190" max="9191" width="12.6640625" style="9" customWidth="1"/>
    <col min="9192" max="9192" width="22.33203125" style="9" customWidth="1"/>
    <col min="9193" max="9193" width="10.33203125" style="9" bestFit="1" customWidth="1"/>
    <col min="9194" max="9441" width="8.88671875" style="9"/>
    <col min="9442" max="9442" width="5.6640625" style="9" customWidth="1"/>
    <col min="9443" max="9443" width="32.77734375" style="9" customWidth="1"/>
    <col min="9444" max="9445" width="6.6640625" style="9" customWidth="1"/>
    <col min="9446" max="9447" width="12.6640625" style="9" customWidth="1"/>
    <col min="9448" max="9448" width="22.33203125" style="9" customWidth="1"/>
    <col min="9449" max="9449" width="10.33203125" style="9" bestFit="1" customWidth="1"/>
    <col min="9450" max="9697" width="8.88671875" style="9"/>
    <col min="9698" max="9698" width="5.6640625" style="9" customWidth="1"/>
    <col min="9699" max="9699" width="32.77734375" style="9" customWidth="1"/>
    <col min="9700" max="9701" width="6.6640625" style="9" customWidth="1"/>
    <col min="9702" max="9703" width="12.6640625" style="9" customWidth="1"/>
    <col min="9704" max="9704" width="22.33203125" style="9" customWidth="1"/>
    <col min="9705" max="9705" width="10.33203125" style="9" bestFit="1" customWidth="1"/>
    <col min="9706" max="9953" width="8.88671875" style="9"/>
    <col min="9954" max="9954" width="5.6640625" style="9" customWidth="1"/>
    <col min="9955" max="9955" width="32.77734375" style="9" customWidth="1"/>
    <col min="9956" max="9957" width="6.6640625" style="9" customWidth="1"/>
    <col min="9958" max="9959" width="12.6640625" style="9" customWidth="1"/>
    <col min="9960" max="9960" width="22.33203125" style="9" customWidth="1"/>
    <col min="9961" max="9961" width="10.33203125" style="9" bestFit="1" customWidth="1"/>
    <col min="9962" max="10209" width="8.88671875" style="9"/>
    <col min="10210" max="10210" width="5.6640625" style="9" customWidth="1"/>
    <col min="10211" max="10211" width="32.77734375" style="9" customWidth="1"/>
    <col min="10212" max="10213" width="6.6640625" style="9" customWidth="1"/>
    <col min="10214" max="10215" width="12.6640625" style="9" customWidth="1"/>
    <col min="10216" max="10216" width="22.33203125" style="9" customWidth="1"/>
    <col min="10217" max="10217" width="10.33203125" style="9" bestFit="1" customWidth="1"/>
    <col min="10218" max="10465" width="8.88671875" style="9"/>
    <col min="10466" max="10466" width="5.6640625" style="9" customWidth="1"/>
    <col min="10467" max="10467" width="32.77734375" style="9" customWidth="1"/>
    <col min="10468" max="10469" width="6.6640625" style="9" customWidth="1"/>
    <col min="10470" max="10471" width="12.6640625" style="9" customWidth="1"/>
    <col min="10472" max="10472" width="22.33203125" style="9" customWidth="1"/>
    <col min="10473" max="10473" width="10.33203125" style="9" bestFit="1" customWidth="1"/>
    <col min="10474" max="10721" width="8.88671875" style="9"/>
    <col min="10722" max="10722" width="5.6640625" style="9" customWidth="1"/>
    <col min="10723" max="10723" width="32.77734375" style="9" customWidth="1"/>
    <col min="10724" max="10725" width="6.6640625" style="9" customWidth="1"/>
    <col min="10726" max="10727" width="12.6640625" style="9" customWidth="1"/>
    <col min="10728" max="10728" width="22.33203125" style="9" customWidth="1"/>
    <col min="10729" max="10729" width="10.33203125" style="9" bestFit="1" customWidth="1"/>
    <col min="10730" max="10977" width="8.88671875" style="9"/>
    <col min="10978" max="10978" width="5.6640625" style="9" customWidth="1"/>
    <col min="10979" max="10979" width="32.77734375" style="9" customWidth="1"/>
    <col min="10980" max="10981" width="6.6640625" style="9" customWidth="1"/>
    <col min="10982" max="10983" width="12.6640625" style="9" customWidth="1"/>
    <col min="10984" max="10984" width="22.33203125" style="9" customWidth="1"/>
    <col min="10985" max="10985" width="10.33203125" style="9" bestFit="1" customWidth="1"/>
    <col min="10986" max="11233" width="8.88671875" style="9"/>
    <col min="11234" max="11234" width="5.6640625" style="9" customWidth="1"/>
    <col min="11235" max="11235" width="32.77734375" style="9" customWidth="1"/>
    <col min="11236" max="11237" width="6.6640625" style="9" customWidth="1"/>
    <col min="11238" max="11239" width="12.6640625" style="9" customWidth="1"/>
    <col min="11240" max="11240" width="22.33203125" style="9" customWidth="1"/>
    <col min="11241" max="11241" width="10.33203125" style="9" bestFit="1" customWidth="1"/>
    <col min="11242" max="11489" width="8.88671875" style="9"/>
    <col min="11490" max="11490" width="5.6640625" style="9" customWidth="1"/>
    <col min="11491" max="11491" width="32.77734375" style="9" customWidth="1"/>
    <col min="11492" max="11493" width="6.6640625" style="9" customWidth="1"/>
    <col min="11494" max="11495" width="12.6640625" style="9" customWidth="1"/>
    <col min="11496" max="11496" width="22.33203125" style="9" customWidth="1"/>
    <col min="11497" max="11497" width="10.33203125" style="9" bestFit="1" customWidth="1"/>
    <col min="11498" max="11745" width="8.88671875" style="9"/>
    <col min="11746" max="11746" width="5.6640625" style="9" customWidth="1"/>
    <col min="11747" max="11747" width="32.77734375" style="9" customWidth="1"/>
    <col min="11748" max="11749" width="6.6640625" style="9" customWidth="1"/>
    <col min="11750" max="11751" width="12.6640625" style="9" customWidth="1"/>
    <col min="11752" max="11752" width="22.33203125" style="9" customWidth="1"/>
    <col min="11753" max="11753" width="10.33203125" style="9" bestFit="1" customWidth="1"/>
    <col min="11754" max="12001" width="8.88671875" style="9"/>
    <col min="12002" max="12002" width="5.6640625" style="9" customWidth="1"/>
    <col min="12003" max="12003" width="32.77734375" style="9" customWidth="1"/>
    <col min="12004" max="12005" width="6.6640625" style="9" customWidth="1"/>
    <col min="12006" max="12007" width="12.6640625" style="9" customWidth="1"/>
    <col min="12008" max="12008" width="22.33203125" style="9" customWidth="1"/>
    <col min="12009" max="12009" width="10.33203125" style="9" bestFit="1" customWidth="1"/>
    <col min="12010" max="12257" width="8.88671875" style="9"/>
    <col min="12258" max="12258" width="5.6640625" style="9" customWidth="1"/>
    <col min="12259" max="12259" width="32.77734375" style="9" customWidth="1"/>
    <col min="12260" max="12261" width="6.6640625" style="9" customWidth="1"/>
    <col min="12262" max="12263" width="12.6640625" style="9" customWidth="1"/>
    <col min="12264" max="12264" width="22.33203125" style="9" customWidth="1"/>
    <col min="12265" max="12265" width="10.33203125" style="9" bestFit="1" customWidth="1"/>
    <col min="12266" max="12513" width="8.88671875" style="9"/>
    <col min="12514" max="12514" width="5.6640625" style="9" customWidth="1"/>
    <col min="12515" max="12515" width="32.77734375" style="9" customWidth="1"/>
    <col min="12516" max="12517" width="6.6640625" style="9" customWidth="1"/>
    <col min="12518" max="12519" width="12.6640625" style="9" customWidth="1"/>
    <col min="12520" max="12520" width="22.33203125" style="9" customWidth="1"/>
    <col min="12521" max="12521" width="10.33203125" style="9" bestFit="1" customWidth="1"/>
    <col min="12522" max="12769" width="8.88671875" style="9"/>
    <col min="12770" max="12770" width="5.6640625" style="9" customWidth="1"/>
    <col min="12771" max="12771" width="32.77734375" style="9" customWidth="1"/>
    <col min="12772" max="12773" width="6.6640625" style="9" customWidth="1"/>
    <col min="12774" max="12775" width="12.6640625" style="9" customWidth="1"/>
    <col min="12776" max="12776" width="22.33203125" style="9" customWidth="1"/>
    <col min="12777" max="12777" width="10.33203125" style="9" bestFit="1" customWidth="1"/>
    <col min="12778" max="13025" width="8.88671875" style="9"/>
    <col min="13026" max="13026" width="5.6640625" style="9" customWidth="1"/>
    <col min="13027" max="13027" width="32.77734375" style="9" customWidth="1"/>
    <col min="13028" max="13029" width="6.6640625" style="9" customWidth="1"/>
    <col min="13030" max="13031" width="12.6640625" style="9" customWidth="1"/>
    <col min="13032" max="13032" width="22.33203125" style="9" customWidth="1"/>
    <col min="13033" max="13033" width="10.33203125" style="9" bestFit="1" customWidth="1"/>
    <col min="13034" max="13281" width="8.88671875" style="9"/>
    <col min="13282" max="13282" width="5.6640625" style="9" customWidth="1"/>
    <col min="13283" max="13283" width="32.77734375" style="9" customWidth="1"/>
    <col min="13284" max="13285" width="6.6640625" style="9" customWidth="1"/>
    <col min="13286" max="13287" width="12.6640625" style="9" customWidth="1"/>
    <col min="13288" max="13288" width="22.33203125" style="9" customWidth="1"/>
    <col min="13289" max="13289" width="10.33203125" style="9" bestFit="1" customWidth="1"/>
    <col min="13290" max="13537" width="8.88671875" style="9"/>
    <col min="13538" max="13538" width="5.6640625" style="9" customWidth="1"/>
    <col min="13539" max="13539" width="32.77734375" style="9" customWidth="1"/>
    <col min="13540" max="13541" width="6.6640625" style="9" customWidth="1"/>
    <col min="13542" max="13543" width="12.6640625" style="9" customWidth="1"/>
    <col min="13544" max="13544" width="22.33203125" style="9" customWidth="1"/>
    <col min="13545" max="13545" width="10.33203125" style="9" bestFit="1" customWidth="1"/>
    <col min="13546" max="13793" width="8.88671875" style="9"/>
    <col min="13794" max="13794" width="5.6640625" style="9" customWidth="1"/>
    <col min="13795" max="13795" width="32.77734375" style="9" customWidth="1"/>
    <col min="13796" max="13797" width="6.6640625" style="9" customWidth="1"/>
    <col min="13798" max="13799" width="12.6640625" style="9" customWidth="1"/>
    <col min="13800" max="13800" width="22.33203125" style="9" customWidth="1"/>
    <col min="13801" max="13801" width="10.33203125" style="9" bestFit="1" customWidth="1"/>
    <col min="13802" max="14049" width="8.88671875" style="9"/>
    <col min="14050" max="14050" width="5.6640625" style="9" customWidth="1"/>
    <col min="14051" max="14051" width="32.77734375" style="9" customWidth="1"/>
    <col min="14052" max="14053" width="6.6640625" style="9" customWidth="1"/>
    <col min="14054" max="14055" width="12.6640625" style="9" customWidth="1"/>
    <col min="14056" max="14056" width="22.33203125" style="9" customWidth="1"/>
    <col min="14057" max="14057" width="10.33203125" style="9" bestFit="1" customWidth="1"/>
    <col min="14058" max="14305" width="8.88671875" style="9"/>
    <col min="14306" max="14306" width="5.6640625" style="9" customWidth="1"/>
    <col min="14307" max="14307" width="32.77734375" style="9" customWidth="1"/>
    <col min="14308" max="14309" width="6.6640625" style="9" customWidth="1"/>
    <col min="14310" max="14311" width="12.6640625" style="9" customWidth="1"/>
    <col min="14312" max="14312" width="22.33203125" style="9" customWidth="1"/>
    <col min="14313" max="14313" width="10.33203125" style="9" bestFit="1" customWidth="1"/>
    <col min="14314" max="14561" width="8.88671875" style="9"/>
    <col min="14562" max="14562" width="5.6640625" style="9" customWidth="1"/>
    <col min="14563" max="14563" width="32.77734375" style="9" customWidth="1"/>
    <col min="14564" max="14565" width="6.6640625" style="9" customWidth="1"/>
    <col min="14566" max="14567" width="12.6640625" style="9" customWidth="1"/>
    <col min="14568" max="14568" width="22.33203125" style="9" customWidth="1"/>
    <col min="14569" max="14569" width="10.33203125" style="9" bestFit="1" customWidth="1"/>
    <col min="14570" max="14817" width="8.88671875" style="9"/>
    <col min="14818" max="14818" width="5.6640625" style="9" customWidth="1"/>
    <col min="14819" max="14819" width="32.77734375" style="9" customWidth="1"/>
    <col min="14820" max="14821" width="6.6640625" style="9" customWidth="1"/>
    <col min="14822" max="14823" width="12.6640625" style="9" customWidth="1"/>
    <col min="14824" max="14824" width="22.33203125" style="9" customWidth="1"/>
    <col min="14825" max="14825" width="10.33203125" style="9" bestFit="1" customWidth="1"/>
    <col min="14826" max="15073" width="8.88671875" style="9"/>
    <col min="15074" max="15074" width="5.6640625" style="9" customWidth="1"/>
    <col min="15075" max="15075" width="32.77734375" style="9" customWidth="1"/>
    <col min="15076" max="15077" width="6.6640625" style="9" customWidth="1"/>
    <col min="15078" max="15079" width="12.6640625" style="9" customWidth="1"/>
    <col min="15080" max="15080" width="22.33203125" style="9" customWidth="1"/>
    <col min="15081" max="15081" width="10.33203125" style="9" bestFit="1" customWidth="1"/>
    <col min="15082" max="15329" width="8.88671875" style="9"/>
    <col min="15330" max="15330" width="5.6640625" style="9" customWidth="1"/>
    <col min="15331" max="15331" width="32.77734375" style="9" customWidth="1"/>
    <col min="15332" max="15333" width="6.6640625" style="9" customWidth="1"/>
    <col min="15334" max="15335" width="12.6640625" style="9" customWidth="1"/>
    <col min="15336" max="15336" width="22.33203125" style="9" customWidth="1"/>
    <col min="15337" max="15337" width="10.33203125" style="9" bestFit="1" customWidth="1"/>
    <col min="15338" max="15585" width="8.88671875" style="9"/>
    <col min="15586" max="15586" width="5.6640625" style="9" customWidth="1"/>
    <col min="15587" max="15587" width="32.77734375" style="9" customWidth="1"/>
    <col min="15588" max="15589" width="6.6640625" style="9" customWidth="1"/>
    <col min="15590" max="15591" width="12.6640625" style="9" customWidth="1"/>
    <col min="15592" max="15592" width="22.33203125" style="9" customWidth="1"/>
    <col min="15593" max="15593" width="10.33203125" style="9" bestFit="1" customWidth="1"/>
    <col min="15594" max="15841" width="8.88671875" style="9"/>
    <col min="15842" max="15842" width="5.6640625" style="9" customWidth="1"/>
    <col min="15843" max="15843" width="32.77734375" style="9" customWidth="1"/>
    <col min="15844" max="15845" width="6.6640625" style="9" customWidth="1"/>
    <col min="15846" max="15847" width="12.6640625" style="9" customWidth="1"/>
    <col min="15848" max="15848" width="22.33203125" style="9" customWidth="1"/>
    <col min="15849" max="15849" width="10.33203125" style="9" bestFit="1" customWidth="1"/>
    <col min="15850" max="16097" width="8.88671875" style="9"/>
    <col min="16098" max="16098" width="5.6640625" style="9" customWidth="1"/>
    <col min="16099" max="16099" width="32.77734375" style="9" customWidth="1"/>
    <col min="16100" max="16101" width="6.6640625" style="9" customWidth="1"/>
    <col min="16102" max="16103" width="12.6640625" style="9" customWidth="1"/>
    <col min="16104" max="16104" width="22.33203125" style="9" customWidth="1"/>
    <col min="16105" max="16105" width="10.33203125" style="9" bestFit="1" customWidth="1"/>
    <col min="16106" max="16357" width="8.88671875" style="9"/>
    <col min="16358" max="16384" width="9" style="9" customWidth="1"/>
  </cols>
  <sheetData>
    <row r="1" spans="1:13" s="20" customFormat="1" ht="62.25" customHeight="1">
      <c r="A1" s="2"/>
      <c r="B1" s="1"/>
      <c r="C1" s="1"/>
      <c r="D1" s="1"/>
      <c r="E1" s="1"/>
      <c r="F1" s="1"/>
      <c r="G1" s="3"/>
      <c r="H1" s="60"/>
      <c r="I1" s="60"/>
      <c r="J1" s="60"/>
      <c r="K1" s="60"/>
      <c r="L1" s="60"/>
      <c r="M1" s="60"/>
    </row>
    <row r="2" spans="1:13" s="4" customFormat="1" ht="21" customHeight="1" thickBot="1">
      <c r="A2" s="80" t="s">
        <v>0</v>
      </c>
      <c r="B2" s="81"/>
      <c r="C2" s="81"/>
      <c r="D2" s="81"/>
      <c r="E2" s="81"/>
      <c r="F2" s="81"/>
      <c r="G2" s="82"/>
      <c r="H2" s="61"/>
      <c r="I2" s="61"/>
      <c r="J2" s="61"/>
      <c r="K2" s="61"/>
      <c r="L2" s="61"/>
      <c r="M2" s="61"/>
    </row>
    <row r="3" spans="1:13" s="5" customFormat="1" ht="16.95" customHeight="1">
      <c r="A3" s="94" t="s">
        <v>297</v>
      </c>
      <c r="B3" s="95"/>
      <c r="C3" s="83" t="s">
        <v>15</v>
      </c>
      <c r="D3" s="83"/>
      <c r="E3" s="83"/>
      <c r="F3" s="84" t="s">
        <v>298</v>
      </c>
      <c r="G3" s="85"/>
      <c r="H3" s="28"/>
      <c r="I3" s="28"/>
      <c r="J3" s="28"/>
      <c r="K3" s="28"/>
      <c r="L3" s="28"/>
      <c r="M3" s="28"/>
    </row>
    <row r="4" spans="1:13" s="5" customFormat="1" ht="16.95" customHeight="1">
      <c r="A4" s="96"/>
      <c r="B4" s="97"/>
      <c r="C4" s="86" t="s">
        <v>16</v>
      </c>
      <c r="D4" s="86"/>
      <c r="E4" s="86"/>
      <c r="F4" s="87" t="s">
        <v>297</v>
      </c>
      <c r="G4" s="88"/>
      <c r="H4" s="28"/>
      <c r="I4" s="28"/>
      <c r="J4" s="28"/>
      <c r="K4" s="28"/>
      <c r="L4" s="28"/>
      <c r="M4" s="28"/>
    </row>
    <row r="5" spans="1:13" s="5" customFormat="1" ht="16.95" customHeight="1">
      <c r="A5" s="96"/>
      <c r="B5" s="97"/>
      <c r="C5" s="86" t="s">
        <v>17</v>
      </c>
      <c r="D5" s="86"/>
      <c r="E5" s="86"/>
      <c r="F5" s="89" t="s">
        <v>299</v>
      </c>
      <c r="G5" s="90"/>
      <c r="H5" s="28"/>
      <c r="I5" s="28"/>
      <c r="J5" s="28"/>
      <c r="K5" s="28"/>
      <c r="L5" s="28"/>
      <c r="M5" s="28"/>
    </row>
    <row r="6" spans="1:13" s="5" customFormat="1" ht="16.95" customHeight="1">
      <c r="A6" s="98"/>
      <c r="B6" s="99"/>
      <c r="C6" s="91" t="s">
        <v>18</v>
      </c>
      <c r="D6" s="91"/>
      <c r="E6" s="91"/>
      <c r="F6" s="92" t="s">
        <v>300</v>
      </c>
      <c r="G6" s="93"/>
      <c r="H6" s="28"/>
      <c r="I6" s="28"/>
      <c r="J6" s="28"/>
      <c r="K6" s="28"/>
      <c r="L6" s="28"/>
      <c r="M6" s="28"/>
    </row>
    <row r="7" spans="1:13" ht="18.600000000000001" customHeight="1">
      <c r="A7" s="6" t="s">
        <v>1</v>
      </c>
      <c r="B7" s="7" t="s">
        <v>10</v>
      </c>
      <c r="C7" s="7" t="s">
        <v>2</v>
      </c>
      <c r="D7" s="14" t="s">
        <v>11</v>
      </c>
      <c r="E7" s="8" t="s">
        <v>12</v>
      </c>
      <c r="F7" s="8" t="s">
        <v>13</v>
      </c>
      <c r="G7" s="15" t="s">
        <v>14</v>
      </c>
      <c r="H7" s="28"/>
      <c r="I7" s="28" t="s">
        <v>72</v>
      </c>
      <c r="J7" s="28" t="s">
        <v>73</v>
      </c>
      <c r="K7" s="28" t="s">
        <v>74</v>
      </c>
      <c r="L7" s="40" t="s">
        <v>75</v>
      </c>
      <c r="M7" s="28"/>
    </row>
    <row r="8" spans="1:13" ht="9.75" customHeight="1">
      <c r="A8" s="10" t="s">
        <v>3</v>
      </c>
      <c r="B8" s="11" t="s">
        <v>4</v>
      </c>
      <c r="C8" s="11" t="s">
        <v>5</v>
      </c>
      <c r="D8" s="16" t="s">
        <v>6</v>
      </c>
      <c r="E8" s="12" t="s">
        <v>7</v>
      </c>
      <c r="F8" s="12" t="s">
        <v>8</v>
      </c>
      <c r="G8" s="17" t="s">
        <v>9</v>
      </c>
      <c r="H8" s="28"/>
      <c r="I8" s="28"/>
      <c r="J8" s="28"/>
      <c r="K8" s="28"/>
      <c r="L8" s="40"/>
      <c r="M8" s="28"/>
    </row>
    <row r="9" spans="1:13" ht="24" customHeight="1">
      <c r="A9" s="31" t="s">
        <v>19</v>
      </c>
      <c r="B9" s="25" t="s">
        <v>27</v>
      </c>
      <c r="C9" s="21"/>
      <c r="D9" s="21"/>
      <c r="F9" s="32"/>
      <c r="G9" s="33"/>
      <c r="H9" s="28"/>
      <c r="I9" s="28"/>
      <c r="J9" s="28"/>
      <c r="K9" s="28"/>
      <c r="L9" s="40"/>
      <c r="M9" s="28"/>
    </row>
    <row r="10" spans="1:13" ht="24" customHeight="1">
      <c r="A10" s="31" t="s">
        <v>48</v>
      </c>
      <c r="B10" s="25" t="s">
        <v>30</v>
      </c>
      <c r="C10" s="21" t="s">
        <v>23</v>
      </c>
      <c r="D10" s="21">
        <v>1</v>
      </c>
      <c r="E10" s="32">
        <f>F43</f>
        <v>78100</v>
      </c>
      <c r="F10" s="32">
        <f>E10*D10</f>
        <v>78100</v>
      </c>
      <c r="G10" s="33"/>
      <c r="H10" s="28"/>
      <c r="I10" s="28"/>
      <c r="J10" s="28">
        <f>J43</f>
        <v>51100</v>
      </c>
      <c r="K10" s="28">
        <f t="shared" ref="K10:K14" si="0">F10-J10</f>
        <v>27000</v>
      </c>
      <c r="L10" s="40">
        <f t="shared" ref="L10:L14" si="1">K10/F10</f>
        <v>0.34571062740076824</v>
      </c>
      <c r="M10" s="28"/>
    </row>
    <row r="11" spans="1:13" ht="24" customHeight="1">
      <c r="A11" s="31" t="s">
        <v>20</v>
      </c>
      <c r="B11" s="25" t="s">
        <v>29</v>
      </c>
      <c r="C11" s="21" t="s">
        <v>23</v>
      </c>
      <c r="D11" s="21">
        <v>1</v>
      </c>
      <c r="E11" s="32">
        <f>F51</f>
        <v>255000</v>
      </c>
      <c r="F11" s="32">
        <f t="shared" ref="F11:F13" si="2">E11*D11</f>
        <v>255000</v>
      </c>
      <c r="G11" s="33"/>
      <c r="H11" s="28"/>
      <c r="I11" s="28"/>
      <c r="J11" s="28">
        <f>J51</f>
        <v>175000</v>
      </c>
      <c r="K11" s="28">
        <f t="shared" si="0"/>
        <v>80000</v>
      </c>
      <c r="L11" s="40">
        <f t="shared" si="1"/>
        <v>0.31372549019607843</v>
      </c>
      <c r="M11" s="28"/>
    </row>
    <row r="12" spans="1:13" ht="24" customHeight="1">
      <c r="A12" s="31" t="s">
        <v>83</v>
      </c>
      <c r="B12" s="25" t="s">
        <v>34</v>
      </c>
      <c r="C12" s="21" t="s">
        <v>23</v>
      </c>
      <c r="D12" s="21">
        <v>1</v>
      </c>
      <c r="E12" s="32">
        <f>F94</f>
        <v>2644560</v>
      </c>
      <c r="F12" s="32">
        <f t="shared" si="2"/>
        <v>2644560</v>
      </c>
      <c r="G12" s="33"/>
      <c r="H12" s="28"/>
      <c r="I12" s="28"/>
      <c r="J12" s="28">
        <f>J94</f>
        <v>1758456.5</v>
      </c>
      <c r="K12" s="28">
        <f t="shared" si="0"/>
        <v>886103.5</v>
      </c>
      <c r="L12" s="40">
        <f t="shared" si="1"/>
        <v>0.33506651390023295</v>
      </c>
      <c r="M12" s="28"/>
    </row>
    <row r="13" spans="1:13" ht="24" customHeight="1">
      <c r="A13" s="31" t="s">
        <v>21</v>
      </c>
      <c r="B13" s="25" t="s">
        <v>26</v>
      </c>
      <c r="C13" s="21" t="s">
        <v>23</v>
      </c>
      <c r="D13" s="21">
        <v>1</v>
      </c>
      <c r="E13" s="32">
        <f>F108</f>
        <v>723100</v>
      </c>
      <c r="F13" s="32">
        <f t="shared" si="2"/>
        <v>723100</v>
      </c>
      <c r="G13" s="33"/>
      <c r="H13" s="28"/>
      <c r="I13" s="28"/>
      <c r="J13" s="28">
        <f>J108</f>
        <v>322700</v>
      </c>
      <c r="K13" s="28">
        <f>F13-J13</f>
        <v>400400</v>
      </c>
      <c r="L13" s="40">
        <f t="shared" si="1"/>
        <v>0.55372700871248792</v>
      </c>
      <c r="M13" s="28"/>
    </row>
    <row r="14" spans="1:13" ht="24" customHeight="1">
      <c r="A14" s="31" t="s">
        <v>22</v>
      </c>
      <c r="B14" s="25" t="s">
        <v>181</v>
      </c>
      <c r="C14" s="21" t="s">
        <v>23</v>
      </c>
      <c r="D14" s="21">
        <v>1</v>
      </c>
      <c r="E14" s="32">
        <f>F135</f>
        <v>433850</v>
      </c>
      <c r="F14" s="32">
        <f>E14*D14</f>
        <v>433850</v>
      </c>
      <c r="G14" s="33"/>
      <c r="H14" s="28"/>
      <c r="I14" s="28"/>
      <c r="J14" s="28">
        <f>J135</f>
        <v>380303</v>
      </c>
      <c r="K14" s="28">
        <f t="shared" si="0"/>
        <v>53547</v>
      </c>
      <c r="L14" s="40">
        <f t="shared" si="1"/>
        <v>0.1234228419960816</v>
      </c>
      <c r="M14" s="28"/>
    </row>
    <row r="15" spans="1:13" ht="24" customHeight="1">
      <c r="A15" s="31" t="s">
        <v>39</v>
      </c>
      <c r="B15" s="25" t="s">
        <v>25</v>
      </c>
      <c r="C15" s="21" t="s">
        <v>23</v>
      </c>
      <c r="D15" s="21">
        <v>1</v>
      </c>
      <c r="E15" s="32">
        <f>F152</f>
        <v>1215700</v>
      </c>
      <c r="F15" s="32">
        <f>E15*D15</f>
        <v>1215700</v>
      </c>
      <c r="G15" s="33"/>
      <c r="H15" s="28"/>
      <c r="I15" s="28"/>
      <c r="J15" s="28">
        <f>J152</f>
        <v>456800</v>
      </c>
      <c r="K15" s="28">
        <f t="shared" ref="K15" si="3">F15-J15</f>
        <v>758900</v>
      </c>
      <c r="L15" s="40">
        <f t="shared" ref="L15" si="4">K15/F15</f>
        <v>0.62424940363576542</v>
      </c>
      <c r="M15" s="28"/>
    </row>
    <row r="16" spans="1:13" ht="24" customHeight="1">
      <c r="A16" s="31"/>
      <c r="B16" s="34" t="s">
        <v>28</v>
      </c>
      <c r="C16" s="21"/>
      <c r="D16" s="21"/>
      <c r="E16" s="32"/>
      <c r="F16" s="35">
        <f>SUM(F10:F15)</f>
        <v>5350310</v>
      </c>
      <c r="G16" s="33"/>
      <c r="H16" s="28"/>
      <c r="I16" s="28"/>
      <c r="J16" s="35">
        <f>SUM(J10:J15)</f>
        <v>3144359.5</v>
      </c>
      <c r="K16" s="28">
        <f t="shared" ref="K16" si="5">F16-J16</f>
        <v>2205950.5</v>
      </c>
      <c r="L16" s="40">
        <f t="shared" ref="L16" si="6">K16/F16</f>
        <v>0.41230330578975799</v>
      </c>
      <c r="M16" s="28"/>
    </row>
    <row r="17" spans="1:13" ht="24" customHeight="1">
      <c r="A17" s="31"/>
      <c r="B17" s="34"/>
      <c r="C17" s="21"/>
      <c r="D17" s="21"/>
      <c r="E17" s="32"/>
      <c r="F17" s="35"/>
      <c r="G17" s="33"/>
      <c r="H17" s="28"/>
      <c r="I17" s="28"/>
      <c r="J17" s="71"/>
      <c r="K17" s="28"/>
      <c r="L17" s="40"/>
      <c r="M17" s="28"/>
    </row>
    <row r="18" spans="1:13" ht="24" customHeight="1">
      <c r="A18" s="31" t="s">
        <v>235</v>
      </c>
      <c r="B18" s="25" t="s">
        <v>236</v>
      </c>
      <c r="C18" s="21"/>
      <c r="D18" s="21"/>
      <c r="E18" s="32"/>
      <c r="F18" s="35"/>
      <c r="G18" s="33"/>
      <c r="H18" s="28"/>
      <c r="I18" s="28"/>
      <c r="J18" s="71"/>
      <c r="K18" s="28"/>
      <c r="L18" s="40"/>
      <c r="M18" s="28"/>
    </row>
    <row r="19" spans="1:13" ht="24" customHeight="1">
      <c r="A19" s="31" t="s">
        <v>239</v>
      </c>
      <c r="B19" s="25" t="s">
        <v>237</v>
      </c>
      <c r="C19" s="21" t="s">
        <v>23</v>
      </c>
      <c r="D19" s="21">
        <v>1</v>
      </c>
      <c r="E19" s="32">
        <v>180000</v>
      </c>
      <c r="F19" s="32">
        <f>E19*D19</f>
        <v>180000</v>
      </c>
      <c r="G19" s="33"/>
      <c r="H19" s="28">
        <v>1</v>
      </c>
      <c r="I19" s="28">
        <v>130000</v>
      </c>
      <c r="J19" s="28">
        <f t="shared" ref="J19" si="7">I19*H19</f>
        <v>130000</v>
      </c>
      <c r="K19" s="28">
        <f t="shared" ref="K19" si="8">F19-J19</f>
        <v>50000</v>
      </c>
      <c r="L19" s="40">
        <f t="shared" ref="L19" si="9">K19/F19</f>
        <v>0.27777777777777779</v>
      </c>
      <c r="M19" s="28"/>
    </row>
    <row r="20" spans="1:13" ht="24" customHeight="1">
      <c r="A20" s="31" t="s">
        <v>240</v>
      </c>
      <c r="B20" s="25" t="s">
        <v>238</v>
      </c>
      <c r="C20" s="21" t="s">
        <v>23</v>
      </c>
      <c r="D20" s="21">
        <v>1</v>
      </c>
      <c r="E20" s="32">
        <v>100000</v>
      </c>
      <c r="F20" s="32">
        <f>E20*D20</f>
        <v>100000</v>
      </c>
      <c r="G20" s="33"/>
      <c r="H20" s="28">
        <v>1</v>
      </c>
      <c r="I20" s="28">
        <v>125450</v>
      </c>
      <c r="J20" s="28">
        <f t="shared" ref="J20" si="10">I20*H20</f>
        <v>125450</v>
      </c>
      <c r="K20" s="28">
        <f t="shared" ref="K20" si="11">F20-J20</f>
        <v>-25450</v>
      </c>
      <c r="L20" s="40">
        <f t="shared" ref="L20" si="12">K20/F20</f>
        <v>-0.2545</v>
      </c>
      <c r="M20" s="28"/>
    </row>
    <row r="21" spans="1:13" ht="24" customHeight="1">
      <c r="A21" s="31" t="s">
        <v>242</v>
      </c>
      <c r="B21" s="25" t="s">
        <v>241</v>
      </c>
      <c r="C21" s="21" t="s">
        <v>23</v>
      </c>
      <c r="D21" s="21">
        <v>1</v>
      </c>
      <c r="E21" s="32">
        <f>ROUNDUP(F16*1.5%,0)</f>
        <v>80255</v>
      </c>
      <c r="F21" s="32">
        <f>E21*D21</f>
        <v>80255</v>
      </c>
      <c r="G21" s="33"/>
      <c r="H21" s="28"/>
      <c r="I21" s="28"/>
      <c r="J21" s="28"/>
      <c r="K21" s="28"/>
      <c r="L21" s="40"/>
      <c r="M21" s="28"/>
    </row>
    <row r="22" spans="1:13" ht="24" customHeight="1">
      <c r="A22" s="31" t="s">
        <v>245</v>
      </c>
      <c r="B22" s="25" t="s">
        <v>243</v>
      </c>
      <c r="C22" s="21" t="s">
        <v>23</v>
      </c>
      <c r="D22" s="21">
        <v>1</v>
      </c>
      <c r="E22" s="32">
        <f>ROUNDUP(F16*1.5%,0)</f>
        <v>80255</v>
      </c>
      <c r="F22" s="32">
        <f t="shared" ref="F22:F24" si="13">E22*D22</f>
        <v>80255</v>
      </c>
      <c r="G22" s="33"/>
      <c r="H22" s="28"/>
      <c r="I22" s="28"/>
      <c r="J22" s="28"/>
      <c r="K22" s="28"/>
      <c r="L22" s="40"/>
      <c r="M22" s="28"/>
    </row>
    <row r="23" spans="1:13" ht="24" customHeight="1">
      <c r="A23" s="31" t="s">
        <v>246</v>
      </c>
      <c r="B23" s="25" t="s">
        <v>244</v>
      </c>
      <c r="C23" s="21" t="s">
        <v>23</v>
      </c>
      <c r="D23" s="21">
        <v>1</v>
      </c>
      <c r="E23" s="32">
        <f>ROUNDUP(F16*7%,0)</f>
        <v>374522</v>
      </c>
      <c r="F23" s="32">
        <f t="shared" si="13"/>
        <v>374522</v>
      </c>
      <c r="G23" s="33"/>
      <c r="H23" s="28"/>
      <c r="I23" s="28"/>
      <c r="J23" s="71"/>
      <c r="K23" s="28"/>
      <c r="L23" s="40"/>
      <c r="M23" s="28"/>
    </row>
    <row r="24" spans="1:13" ht="24" customHeight="1">
      <c r="A24" s="31" t="s">
        <v>248</v>
      </c>
      <c r="B24" s="25" t="s">
        <v>247</v>
      </c>
      <c r="C24" s="21" t="s">
        <v>23</v>
      </c>
      <c r="D24" s="21">
        <v>1</v>
      </c>
      <c r="E24" s="32">
        <f>ROUNDUP(F16*0.5%,0)</f>
        <v>26752</v>
      </c>
      <c r="F24" s="32">
        <f t="shared" si="13"/>
        <v>26752</v>
      </c>
      <c r="G24" s="33"/>
      <c r="H24" s="28"/>
      <c r="I24" s="28"/>
      <c r="J24" s="71"/>
      <c r="K24" s="28"/>
      <c r="L24" s="40"/>
      <c r="M24" s="28"/>
    </row>
    <row r="25" spans="1:13" ht="24" customHeight="1">
      <c r="A25" s="31"/>
      <c r="B25" s="34" t="s">
        <v>249</v>
      </c>
      <c r="C25" s="21"/>
      <c r="D25" s="21"/>
      <c r="E25" s="32"/>
      <c r="F25" s="32">
        <f>SUM(F19:F24)</f>
        <v>841784</v>
      </c>
      <c r="G25" s="33"/>
      <c r="H25" s="28"/>
      <c r="I25" s="28"/>
      <c r="J25" s="71"/>
      <c r="K25" s="28"/>
      <c r="L25" s="40"/>
      <c r="M25" s="28"/>
    </row>
    <row r="26" spans="1:13" ht="24" customHeight="1">
      <c r="A26" s="31"/>
      <c r="B26" s="34" t="s">
        <v>250</v>
      </c>
      <c r="C26" s="21"/>
      <c r="D26" s="21"/>
      <c r="E26" s="32"/>
      <c r="F26" s="32">
        <f>F25+F16</f>
        <v>6192094</v>
      </c>
      <c r="G26" s="33"/>
      <c r="H26" s="28">
        <f>H28/1.05</f>
        <v>5238095.2380952379</v>
      </c>
      <c r="I26" s="28"/>
      <c r="J26" s="71">
        <f>SUM(J16:J25)</f>
        <v>3399809.5</v>
      </c>
      <c r="K26" s="28">
        <f>H26-J26</f>
        <v>1838285.7380952379</v>
      </c>
      <c r="L26" s="40">
        <f t="shared" ref="L26" si="14">K26/F26</f>
        <v>0.29687626481368629</v>
      </c>
      <c r="M26" s="28"/>
    </row>
    <row r="27" spans="1:13" ht="24" customHeight="1">
      <c r="A27" s="31"/>
      <c r="B27" s="34" t="s">
        <v>125</v>
      </c>
      <c r="C27" s="21"/>
      <c r="D27" s="21"/>
      <c r="E27" s="32"/>
      <c r="F27" s="35">
        <f>ROUNDUP(F26*0.05,0)</f>
        <v>309605</v>
      </c>
      <c r="G27" s="33"/>
      <c r="H27" s="28"/>
      <c r="I27" s="28"/>
      <c r="J27" s="28"/>
      <c r="K27" s="28"/>
      <c r="L27" s="28"/>
      <c r="M27" s="28"/>
    </row>
    <row r="28" spans="1:13" ht="24" customHeight="1">
      <c r="A28" s="31"/>
      <c r="B28" s="34" t="s">
        <v>71</v>
      </c>
      <c r="C28" s="21"/>
      <c r="D28" s="21"/>
      <c r="E28" s="32"/>
      <c r="F28" s="32">
        <f>SUM(F26:F27)</f>
        <v>6501699</v>
      </c>
      <c r="G28" s="41"/>
      <c r="H28" s="28">
        <v>5500000</v>
      </c>
      <c r="I28" s="28"/>
      <c r="J28" s="28"/>
      <c r="K28" s="28"/>
      <c r="L28" s="40"/>
      <c r="M28" s="28"/>
    </row>
    <row r="29" spans="1:13" ht="24" customHeight="1">
      <c r="A29" s="31"/>
      <c r="B29" s="25"/>
      <c r="C29" s="21"/>
      <c r="D29" s="21"/>
      <c r="E29" s="32"/>
      <c r="F29" s="32"/>
      <c r="G29" s="41"/>
      <c r="H29" s="28"/>
      <c r="I29" s="28"/>
      <c r="J29" s="28"/>
      <c r="K29" s="28"/>
      <c r="L29" s="40"/>
      <c r="M29" s="28"/>
    </row>
    <row r="30" spans="1:13" ht="24" customHeight="1">
      <c r="A30" s="24"/>
      <c r="B30" s="34"/>
      <c r="C30" s="21"/>
      <c r="D30" s="21"/>
      <c r="E30" s="32"/>
      <c r="F30" s="35"/>
      <c r="G30" s="33"/>
      <c r="H30" s="62"/>
      <c r="I30" s="28"/>
      <c r="J30" s="35"/>
      <c r="K30" s="28"/>
      <c r="L30" s="28"/>
      <c r="M30" s="28"/>
    </row>
    <row r="31" spans="1:13" ht="24" customHeight="1">
      <c r="A31" s="24"/>
      <c r="B31" s="34"/>
      <c r="C31" s="21"/>
      <c r="D31" s="21"/>
      <c r="E31" s="32"/>
      <c r="F31" s="35"/>
      <c r="G31" s="33"/>
      <c r="H31" s="62"/>
      <c r="I31" s="28"/>
      <c r="J31" s="38"/>
      <c r="K31" s="28"/>
      <c r="L31" s="40"/>
      <c r="M31" s="28"/>
    </row>
    <row r="32" spans="1:13" ht="24" customHeight="1">
      <c r="A32" s="24"/>
      <c r="B32" s="25"/>
      <c r="C32" s="21"/>
      <c r="D32" s="21"/>
      <c r="E32" s="32"/>
      <c r="F32" s="32"/>
      <c r="G32" s="33"/>
      <c r="H32" s="28"/>
      <c r="I32" s="28"/>
      <c r="J32" s="28"/>
      <c r="K32" s="28"/>
      <c r="L32" s="28"/>
      <c r="M32" s="28"/>
    </row>
    <row r="33" spans="1:14" ht="24" customHeight="1">
      <c r="A33" s="24"/>
      <c r="B33" s="34"/>
      <c r="C33" s="21"/>
      <c r="D33" s="21"/>
      <c r="E33" s="32"/>
      <c r="F33" s="35"/>
      <c r="G33" s="33"/>
      <c r="H33" s="28"/>
      <c r="I33" s="28"/>
      <c r="J33" s="28"/>
      <c r="K33" s="28"/>
      <c r="L33" s="28"/>
      <c r="M33" s="28"/>
    </row>
    <row r="34" spans="1:14" ht="24" customHeight="1">
      <c r="A34" s="24"/>
      <c r="B34" s="34"/>
      <c r="C34" s="21"/>
      <c r="D34" s="21"/>
      <c r="E34" s="32"/>
      <c r="F34" s="35"/>
      <c r="G34" s="33"/>
      <c r="H34" s="28"/>
      <c r="I34" s="28"/>
      <c r="J34" s="28"/>
      <c r="K34" s="28"/>
      <c r="L34" s="28"/>
      <c r="M34" s="28"/>
    </row>
    <row r="35" spans="1:14" ht="24" customHeight="1">
      <c r="A35" s="24"/>
      <c r="B35" s="34"/>
      <c r="C35" s="21"/>
      <c r="D35" s="21"/>
      <c r="E35" s="32"/>
      <c r="F35" s="35"/>
      <c r="G35" s="33"/>
      <c r="H35" s="28"/>
      <c r="I35" s="28"/>
      <c r="J35" s="28"/>
      <c r="K35" s="28"/>
      <c r="L35" s="28"/>
      <c r="M35" s="28"/>
    </row>
    <row r="36" spans="1:14" ht="24" customHeight="1">
      <c r="A36" s="31"/>
      <c r="B36" s="25"/>
      <c r="C36" s="21"/>
      <c r="D36" s="21"/>
      <c r="E36" s="32"/>
      <c r="F36" s="32"/>
      <c r="G36" s="33"/>
      <c r="H36" s="28"/>
      <c r="I36" s="28"/>
      <c r="J36" s="28"/>
      <c r="K36" s="28"/>
      <c r="L36" s="28"/>
      <c r="M36" s="28"/>
    </row>
    <row r="37" spans="1:14" ht="24" customHeight="1">
      <c r="A37" s="31"/>
      <c r="B37" s="25"/>
      <c r="C37" s="21"/>
      <c r="D37" s="21"/>
      <c r="E37" s="32"/>
      <c r="F37" s="32"/>
      <c r="G37" s="33"/>
      <c r="H37" s="28"/>
      <c r="I37" s="28"/>
      <c r="J37" s="28"/>
      <c r="K37" s="28"/>
      <c r="L37" s="28"/>
      <c r="M37" s="28"/>
    </row>
    <row r="38" spans="1:14" ht="24" customHeight="1">
      <c r="A38" s="31" t="s">
        <v>31</v>
      </c>
      <c r="B38" s="25" t="s">
        <v>30</v>
      </c>
      <c r="C38" s="21"/>
      <c r="D38" s="21"/>
      <c r="E38" s="32"/>
      <c r="G38" s="33"/>
      <c r="H38" s="28"/>
      <c r="I38" s="28" t="s">
        <v>72</v>
      </c>
      <c r="J38" s="28" t="s">
        <v>73</v>
      </c>
      <c r="K38" s="28" t="s">
        <v>74</v>
      </c>
      <c r="L38" s="40" t="s">
        <v>75</v>
      </c>
      <c r="M38" s="28"/>
    </row>
    <row r="39" spans="1:14" ht="24" customHeight="1">
      <c r="A39" s="31" t="s">
        <v>77</v>
      </c>
      <c r="B39" s="25" t="s">
        <v>90</v>
      </c>
      <c r="C39" s="21" t="s">
        <v>23</v>
      </c>
      <c r="D39" s="21">
        <v>1</v>
      </c>
      <c r="E39" s="32">
        <v>6500</v>
      </c>
      <c r="F39" s="32">
        <f>E39*D39</f>
        <v>6500</v>
      </c>
      <c r="G39" s="33"/>
      <c r="H39" s="28">
        <v>1</v>
      </c>
      <c r="I39" s="28">
        <v>4500</v>
      </c>
      <c r="J39" s="28">
        <f t="shared" ref="J39:J42" si="15">I39*H39</f>
        <v>4500</v>
      </c>
      <c r="K39" s="28">
        <f t="shared" ref="K39:K43" si="16">F39-J39</f>
        <v>2000</v>
      </c>
      <c r="L39" s="40">
        <f t="shared" ref="L39:L43" si="17">K39/F39</f>
        <v>0.30769230769230771</v>
      </c>
      <c r="M39" s="28"/>
      <c r="N39" s="64"/>
    </row>
    <row r="40" spans="1:14" ht="24" customHeight="1">
      <c r="A40" s="31" t="s">
        <v>78</v>
      </c>
      <c r="B40" s="25" t="s">
        <v>76</v>
      </c>
      <c r="C40" s="21" t="s">
        <v>105</v>
      </c>
      <c r="D40" s="21">
        <v>26</v>
      </c>
      <c r="E40" s="32">
        <v>1600</v>
      </c>
      <c r="F40" s="32">
        <f>E40*D40</f>
        <v>41600</v>
      </c>
      <c r="G40" s="33"/>
      <c r="H40" s="28">
        <v>26</v>
      </c>
      <c r="I40" s="28">
        <v>1100</v>
      </c>
      <c r="J40" s="28">
        <f t="shared" si="15"/>
        <v>28600</v>
      </c>
      <c r="K40" s="28">
        <f t="shared" si="16"/>
        <v>13000</v>
      </c>
      <c r="L40" s="40">
        <f t="shared" si="17"/>
        <v>0.3125</v>
      </c>
      <c r="M40" s="28"/>
      <c r="N40" s="64"/>
    </row>
    <row r="41" spans="1:14" ht="24" customHeight="1">
      <c r="A41" s="31" t="s">
        <v>126</v>
      </c>
      <c r="B41" s="25" t="s">
        <v>32</v>
      </c>
      <c r="C41" s="21" t="s">
        <v>23</v>
      </c>
      <c r="D41" s="21">
        <v>1</v>
      </c>
      <c r="E41" s="32">
        <v>15000</v>
      </c>
      <c r="F41" s="32">
        <f>E41*D41</f>
        <v>15000</v>
      </c>
      <c r="G41" s="33"/>
      <c r="H41" s="28">
        <v>1</v>
      </c>
      <c r="I41" s="28">
        <v>8000</v>
      </c>
      <c r="J41" s="28">
        <f t="shared" si="15"/>
        <v>8000</v>
      </c>
      <c r="K41" s="28">
        <f t="shared" si="16"/>
        <v>7000</v>
      </c>
      <c r="L41" s="40">
        <f t="shared" si="17"/>
        <v>0.46666666666666667</v>
      </c>
      <c r="M41" s="28"/>
      <c r="N41" s="64"/>
    </row>
    <row r="42" spans="1:14" ht="24" customHeight="1">
      <c r="A42" s="31" t="s">
        <v>127</v>
      </c>
      <c r="B42" s="25" t="s">
        <v>33</v>
      </c>
      <c r="C42" s="21" t="s">
        <v>23</v>
      </c>
      <c r="D42" s="21">
        <v>1</v>
      </c>
      <c r="E42" s="32">
        <v>15000</v>
      </c>
      <c r="F42" s="32">
        <f t="shared" ref="F42" si="18">E42*D42</f>
        <v>15000</v>
      </c>
      <c r="G42" s="33"/>
      <c r="H42" s="28">
        <v>1</v>
      </c>
      <c r="I42" s="28">
        <v>10000</v>
      </c>
      <c r="J42" s="28">
        <f t="shared" si="15"/>
        <v>10000</v>
      </c>
      <c r="K42" s="28">
        <f t="shared" si="16"/>
        <v>5000</v>
      </c>
      <c r="L42" s="40">
        <f t="shared" si="17"/>
        <v>0.33333333333333331</v>
      </c>
      <c r="M42" s="28"/>
      <c r="N42" s="64"/>
    </row>
    <row r="43" spans="1:14" ht="24" customHeight="1">
      <c r="A43" s="36"/>
      <c r="B43" s="29" t="s">
        <v>50</v>
      </c>
      <c r="C43" s="30"/>
      <c r="D43" s="30"/>
      <c r="E43" s="37"/>
      <c r="F43" s="38">
        <f>SUM(F39:F42)</f>
        <v>78100</v>
      </c>
      <c r="G43" s="39"/>
      <c r="H43" s="28"/>
      <c r="I43" s="28"/>
      <c r="J43" s="28">
        <f>SUM(J39:J42)</f>
        <v>51100</v>
      </c>
      <c r="K43" s="28">
        <f t="shared" si="16"/>
        <v>27000</v>
      </c>
      <c r="L43" s="40">
        <f t="shared" si="17"/>
        <v>0.34571062740076824</v>
      </c>
      <c r="M43" s="28"/>
    </row>
    <row r="44" spans="1:14" ht="24" customHeight="1">
      <c r="A44" s="31"/>
      <c r="B44" s="25"/>
      <c r="C44" s="21"/>
      <c r="D44" s="21"/>
      <c r="E44" s="32"/>
      <c r="F44" s="32"/>
      <c r="G44" s="33"/>
      <c r="H44" s="28"/>
      <c r="I44" s="28"/>
      <c r="J44" s="28"/>
      <c r="K44" s="28"/>
      <c r="L44" s="40"/>
      <c r="M44" s="28"/>
    </row>
    <row r="45" spans="1:14" ht="24" customHeight="1">
      <c r="A45" s="31" t="s">
        <v>20</v>
      </c>
      <c r="B45" s="25" t="s">
        <v>29</v>
      </c>
      <c r="C45" s="21"/>
      <c r="D45" s="21"/>
      <c r="E45" s="32"/>
      <c r="F45" s="32"/>
      <c r="G45" s="33"/>
      <c r="H45" s="28"/>
      <c r="I45" s="28"/>
      <c r="J45" s="28"/>
      <c r="K45" s="28"/>
      <c r="L45" s="40"/>
      <c r="M45" s="28"/>
    </row>
    <row r="46" spans="1:14" ht="24" customHeight="1">
      <c r="A46" s="31" t="s">
        <v>79</v>
      </c>
      <c r="B46" s="25" t="s">
        <v>128</v>
      </c>
      <c r="C46" s="21" t="s">
        <v>52</v>
      </c>
      <c r="D46" s="21">
        <v>1</v>
      </c>
      <c r="E46" s="32">
        <v>95000</v>
      </c>
      <c r="F46" s="32">
        <f t="shared" ref="F46:F50" si="19">E46*D46</f>
        <v>95000</v>
      </c>
      <c r="G46" s="33"/>
      <c r="H46" s="28">
        <v>1</v>
      </c>
      <c r="I46" s="28">
        <v>65000</v>
      </c>
      <c r="J46" s="28">
        <f>I46*H46</f>
        <v>65000</v>
      </c>
      <c r="K46" s="28">
        <f>F46-J46</f>
        <v>30000</v>
      </c>
      <c r="L46" s="40">
        <f>K46/F46</f>
        <v>0.31578947368421051</v>
      </c>
      <c r="M46" s="28"/>
    </row>
    <row r="47" spans="1:14" ht="24" customHeight="1">
      <c r="A47" s="31" t="s">
        <v>252</v>
      </c>
      <c r="B47" s="25" t="s">
        <v>91</v>
      </c>
      <c r="C47" s="21" t="s">
        <v>52</v>
      </c>
      <c r="D47" s="21">
        <v>1</v>
      </c>
      <c r="E47" s="32">
        <v>48000</v>
      </c>
      <c r="F47" s="32">
        <f t="shared" si="19"/>
        <v>48000</v>
      </c>
      <c r="G47" s="33"/>
      <c r="H47" s="28">
        <v>1</v>
      </c>
      <c r="I47" s="28">
        <v>35000</v>
      </c>
      <c r="J47" s="28">
        <f t="shared" ref="J47:J49" si="20">I47*H47</f>
        <v>35000</v>
      </c>
      <c r="K47" s="28">
        <f t="shared" ref="K47:K51" si="21">F47-J47</f>
        <v>13000</v>
      </c>
      <c r="L47" s="40">
        <f t="shared" ref="L47:L51" si="22">K47/F47</f>
        <v>0.27083333333333331</v>
      </c>
      <c r="M47" s="28"/>
    </row>
    <row r="48" spans="1:14" ht="24" customHeight="1">
      <c r="A48" s="31" t="s">
        <v>253</v>
      </c>
      <c r="B48" s="25" t="s">
        <v>129</v>
      </c>
      <c r="C48" s="21" t="s">
        <v>52</v>
      </c>
      <c r="D48" s="21">
        <v>1</v>
      </c>
      <c r="E48" s="32">
        <v>15000</v>
      </c>
      <c r="F48" s="32">
        <f t="shared" si="19"/>
        <v>15000</v>
      </c>
      <c r="G48" s="33"/>
      <c r="H48" s="28">
        <v>1</v>
      </c>
      <c r="I48" s="28">
        <v>9000</v>
      </c>
      <c r="J48" s="28">
        <f t="shared" si="20"/>
        <v>9000</v>
      </c>
      <c r="K48" s="28">
        <f t="shared" si="21"/>
        <v>6000</v>
      </c>
      <c r="L48" s="40">
        <f t="shared" si="22"/>
        <v>0.4</v>
      </c>
      <c r="M48" s="28"/>
    </row>
    <row r="49" spans="1:13" ht="22.2" customHeight="1">
      <c r="A49" s="31" t="s">
        <v>80</v>
      </c>
      <c r="B49" s="26" t="s">
        <v>130</v>
      </c>
      <c r="C49" s="21" t="s">
        <v>52</v>
      </c>
      <c r="D49" s="21">
        <v>1</v>
      </c>
      <c r="E49" s="32">
        <v>12000</v>
      </c>
      <c r="F49" s="32">
        <f t="shared" si="19"/>
        <v>12000</v>
      </c>
      <c r="G49" s="33"/>
      <c r="H49" s="28">
        <v>1</v>
      </c>
      <c r="I49" s="28">
        <v>6000</v>
      </c>
      <c r="J49" s="28">
        <f t="shared" si="20"/>
        <v>6000</v>
      </c>
      <c r="K49" s="28">
        <f t="shared" si="21"/>
        <v>6000</v>
      </c>
      <c r="L49" s="40">
        <f t="shared" si="22"/>
        <v>0.5</v>
      </c>
      <c r="M49" s="28"/>
    </row>
    <row r="50" spans="1:13" ht="24" customHeight="1">
      <c r="A50" s="31" t="s">
        <v>81</v>
      </c>
      <c r="B50" s="25" t="s">
        <v>92</v>
      </c>
      <c r="C50" s="21" t="s">
        <v>52</v>
      </c>
      <c r="D50" s="21">
        <v>1</v>
      </c>
      <c r="E50" s="32">
        <v>85000</v>
      </c>
      <c r="F50" s="32">
        <f t="shared" si="19"/>
        <v>85000</v>
      </c>
      <c r="G50" s="33"/>
      <c r="H50" s="28">
        <v>4</v>
      </c>
      <c r="I50" s="28">
        <v>15000</v>
      </c>
      <c r="J50" s="28">
        <f>I50*H50</f>
        <v>60000</v>
      </c>
      <c r="K50" s="28">
        <f>F50-J50</f>
        <v>25000</v>
      </c>
      <c r="L50" s="40">
        <f t="shared" si="22"/>
        <v>0.29411764705882354</v>
      </c>
      <c r="M50" s="28"/>
    </row>
    <row r="51" spans="1:13" ht="24" customHeight="1">
      <c r="A51" s="36"/>
      <c r="B51" s="29" t="s">
        <v>49</v>
      </c>
      <c r="C51" s="30"/>
      <c r="D51" s="30"/>
      <c r="E51" s="37"/>
      <c r="F51" s="38">
        <f>SUM(F46:F50)</f>
        <v>255000</v>
      </c>
      <c r="G51" s="39"/>
      <c r="H51" s="28"/>
      <c r="I51" s="28"/>
      <c r="J51" s="62">
        <f>SUM(J46:J50)</f>
        <v>175000</v>
      </c>
      <c r="K51" s="62">
        <f t="shared" si="21"/>
        <v>80000</v>
      </c>
      <c r="L51" s="63">
        <f t="shared" si="22"/>
        <v>0.31372549019607843</v>
      </c>
      <c r="M51" s="28"/>
    </row>
    <row r="52" spans="1:13" ht="24" customHeight="1">
      <c r="A52" s="31"/>
      <c r="B52" s="25"/>
      <c r="C52" s="21"/>
      <c r="D52" s="21"/>
      <c r="E52" s="32"/>
      <c r="F52" s="32"/>
      <c r="G52" s="33"/>
      <c r="H52" s="28"/>
      <c r="I52" s="28"/>
      <c r="J52" s="28"/>
      <c r="K52" s="28"/>
      <c r="L52" s="40"/>
      <c r="M52" s="28"/>
    </row>
    <row r="53" spans="1:13" ht="24" customHeight="1">
      <c r="A53" s="31" t="s">
        <v>24</v>
      </c>
      <c r="B53" s="25" t="s">
        <v>34</v>
      </c>
      <c r="C53" s="21"/>
      <c r="D53" s="21"/>
      <c r="E53" s="32"/>
      <c r="F53" s="32"/>
      <c r="G53" s="33"/>
      <c r="H53" s="28"/>
      <c r="I53" s="28"/>
      <c r="J53" s="28"/>
      <c r="K53" s="28"/>
      <c r="L53" s="40"/>
      <c r="M53" s="28"/>
    </row>
    <row r="54" spans="1:13" ht="24" customHeight="1">
      <c r="A54" s="31" t="s">
        <v>47</v>
      </c>
      <c r="B54" s="25" t="s">
        <v>35</v>
      </c>
      <c r="C54" s="21"/>
      <c r="D54" s="21"/>
      <c r="E54" s="32"/>
      <c r="F54" s="32"/>
      <c r="G54" s="33"/>
      <c r="H54" s="28"/>
      <c r="I54" s="28"/>
      <c r="J54" s="28"/>
      <c r="K54" s="28"/>
      <c r="L54" s="40"/>
      <c r="M54" s="28"/>
    </row>
    <row r="55" spans="1:13" ht="24" customHeight="1">
      <c r="A55" s="31" t="s">
        <v>82</v>
      </c>
      <c r="B55" s="25" t="s">
        <v>68</v>
      </c>
      <c r="C55" s="21" t="s">
        <v>95</v>
      </c>
      <c r="D55" s="21">
        <f>ROUNDUP(H55*1.1,0)</f>
        <v>122</v>
      </c>
      <c r="E55" s="32">
        <v>600</v>
      </c>
      <c r="F55" s="32">
        <f t="shared" ref="F55" si="23">E55*D55</f>
        <v>73200</v>
      </c>
      <c r="G55" s="33"/>
      <c r="H55" s="28">
        <f>數量表!B14</f>
        <v>110.69999999999999</v>
      </c>
      <c r="I55" s="28">
        <v>385</v>
      </c>
      <c r="J55" s="28">
        <f>I55*H55</f>
        <v>42619.499999999993</v>
      </c>
      <c r="K55" s="28">
        <f>F55-J55</f>
        <v>30580.500000000007</v>
      </c>
      <c r="L55" s="40">
        <f t="shared" ref="L55" si="24">K55/F55</f>
        <v>0.41776639344262306</v>
      </c>
      <c r="M55" s="28"/>
    </row>
    <row r="56" spans="1:13" ht="24" customHeight="1">
      <c r="A56" s="31"/>
      <c r="B56" s="25"/>
      <c r="C56" s="21"/>
      <c r="D56" s="21"/>
      <c r="E56" s="32"/>
      <c r="F56" s="32"/>
      <c r="G56" s="33"/>
      <c r="H56" s="28"/>
      <c r="I56" s="28"/>
      <c r="J56" s="28"/>
      <c r="K56" s="28"/>
      <c r="L56" s="40"/>
      <c r="M56" s="28"/>
    </row>
    <row r="57" spans="1:13" ht="24" customHeight="1">
      <c r="A57" s="31" t="s">
        <v>107</v>
      </c>
      <c r="B57" s="25" t="s">
        <v>36</v>
      </c>
      <c r="C57" s="21"/>
      <c r="D57" s="21"/>
      <c r="E57" s="32"/>
      <c r="F57" s="32"/>
      <c r="G57" s="33"/>
      <c r="H57" s="28"/>
      <c r="I57" s="28"/>
      <c r="J57" s="28"/>
      <c r="K57" s="28"/>
      <c r="L57" s="40"/>
      <c r="M57" s="28"/>
    </row>
    <row r="58" spans="1:13" ht="24" customHeight="1">
      <c r="A58" s="31" t="s">
        <v>108</v>
      </c>
      <c r="B58" s="25" t="s">
        <v>139</v>
      </c>
      <c r="C58" s="21" t="s">
        <v>95</v>
      </c>
      <c r="D58" s="21">
        <f>H58</f>
        <v>359</v>
      </c>
      <c r="E58" s="32">
        <v>1950</v>
      </c>
      <c r="F58" s="32">
        <f t="shared" ref="F58:F60" si="25">E58*D58</f>
        <v>700050</v>
      </c>
      <c r="G58" s="33"/>
      <c r="H58" s="28">
        <f>數量表!G14</f>
        <v>359</v>
      </c>
      <c r="I58" s="28">
        <v>1500</v>
      </c>
      <c r="J58" s="28">
        <f>I58*H58</f>
        <v>538500</v>
      </c>
      <c r="K58" s="28">
        <f>F58-J58</f>
        <v>161550</v>
      </c>
      <c r="L58" s="40">
        <f t="shared" ref="L58" si="26">K58/F58</f>
        <v>0.23076923076923078</v>
      </c>
      <c r="M58" s="28"/>
    </row>
    <row r="59" spans="1:13" ht="24" customHeight="1">
      <c r="A59" s="31" t="s">
        <v>111</v>
      </c>
      <c r="B59" s="25" t="s">
        <v>94</v>
      </c>
      <c r="C59" s="21" t="s">
        <v>95</v>
      </c>
      <c r="D59" s="21">
        <f>ROUNDUP(H59*1.1,0)</f>
        <v>372</v>
      </c>
      <c r="E59" s="32">
        <v>480</v>
      </c>
      <c r="F59" s="32">
        <f t="shared" si="25"/>
        <v>178560</v>
      </c>
      <c r="G59" s="33"/>
      <c r="H59" s="28">
        <f>數量表!M14</f>
        <v>338</v>
      </c>
      <c r="I59" s="28">
        <v>365</v>
      </c>
      <c r="J59" s="28">
        <f>I59*H59</f>
        <v>123370</v>
      </c>
      <c r="K59" s="28">
        <f>F59-J59</f>
        <v>55190</v>
      </c>
      <c r="L59" s="40">
        <f t="shared" ref="L59" si="27">K59/F59</f>
        <v>0.30908378136200715</v>
      </c>
      <c r="M59" s="28"/>
    </row>
    <row r="60" spans="1:13" ht="24" customHeight="1">
      <c r="A60" s="31" t="s">
        <v>112</v>
      </c>
      <c r="B60" s="25" t="s">
        <v>143</v>
      </c>
      <c r="C60" s="21" t="s">
        <v>95</v>
      </c>
      <c r="D60" s="21">
        <f>ROUNDUP(H60*1.1,0)</f>
        <v>48</v>
      </c>
      <c r="E60" s="32">
        <v>2600</v>
      </c>
      <c r="F60" s="32">
        <f t="shared" si="25"/>
        <v>124800</v>
      </c>
      <c r="G60" s="33" t="s">
        <v>144</v>
      </c>
      <c r="H60" s="28">
        <f>數量表!J14</f>
        <v>43</v>
      </c>
      <c r="I60" s="28">
        <v>2000</v>
      </c>
      <c r="J60" s="28">
        <f>I60*H60</f>
        <v>86000</v>
      </c>
      <c r="K60" s="28">
        <f>F60-J60</f>
        <v>38800</v>
      </c>
      <c r="L60" s="40">
        <f t="shared" ref="L60" si="28">K60/F60</f>
        <v>0.3108974358974359</v>
      </c>
      <c r="M60" s="28"/>
    </row>
    <row r="61" spans="1:13" ht="24" customHeight="1">
      <c r="A61" s="31"/>
      <c r="B61" s="25"/>
      <c r="C61" s="21"/>
      <c r="D61" s="21"/>
      <c r="E61" s="32"/>
      <c r="F61" s="32"/>
      <c r="G61" s="33"/>
      <c r="H61" s="28"/>
      <c r="I61" s="28"/>
      <c r="J61" s="28"/>
      <c r="K61" s="28"/>
      <c r="L61" s="40"/>
      <c r="M61" s="28"/>
    </row>
    <row r="62" spans="1:13" ht="24" customHeight="1">
      <c r="A62" s="31" t="s">
        <v>109</v>
      </c>
      <c r="B62" s="25" t="s">
        <v>51</v>
      </c>
      <c r="C62" s="21"/>
      <c r="D62" s="21"/>
      <c r="E62" s="32"/>
      <c r="F62" s="32"/>
      <c r="G62" s="33"/>
      <c r="H62" s="28"/>
      <c r="I62" s="28"/>
      <c r="J62" s="28"/>
      <c r="K62" s="28"/>
      <c r="L62" s="40"/>
      <c r="M62" s="28"/>
    </row>
    <row r="63" spans="1:13" ht="24" customHeight="1">
      <c r="A63" s="31" t="s">
        <v>110</v>
      </c>
      <c r="B63" s="25" t="s">
        <v>43</v>
      </c>
      <c r="C63" s="21" t="s">
        <v>95</v>
      </c>
      <c r="D63" s="21">
        <f>ROUNDUP(H63*1.1,0)</f>
        <v>122</v>
      </c>
      <c r="E63" s="32">
        <v>550</v>
      </c>
      <c r="F63" s="32">
        <f t="shared" ref="F63:F76" si="29">E63*D63</f>
        <v>67100</v>
      </c>
      <c r="G63" s="33"/>
      <c r="H63" s="28">
        <f>數量表!O14</f>
        <v>110.69999999999999</v>
      </c>
      <c r="I63" s="28">
        <v>380</v>
      </c>
      <c r="J63" s="28">
        <f>I63*H63</f>
        <v>42065.999999999993</v>
      </c>
      <c r="K63" s="28">
        <f>F63-J63</f>
        <v>25034.000000000007</v>
      </c>
      <c r="L63" s="40">
        <f t="shared" ref="L63" si="30">K63/F63</f>
        <v>0.37308494783904633</v>
      </c>
      <c r="M63" s="28"/>
    </row>
    <row r="64" spans="1:13" ht="24" customHeight="1">
      <c r="A64" s="31" t="s">
        <v>88</v>
      </c>
      <c r="B64" s="25" t="s">
        <v>93</v>
      </c>
      <c r="C64" s="21" t="s">
        <v>95</v>
      </c>
      <c r="D64" s="21">
        <f>ROUNDUP(H64*1.1,0)</f>
        <v>140</v>
      </c>
      <c r="E64" s="32">
        <v>1050</v>
      </c>
      <c r="F64" s="32">
        <f t="shared" si="29"/>
        <v>147000</v>
      </c>
      <c r="G64" s="33"/>
      <c r="H64" s="28">
        <f>數量表!T14</f>
        <v>126.69999999999999</v>
      </c>
      <c r="I64" s="28">
        <v>780</v>
      </c>
      <c r="J64" s="28">
        <f>I64*H64</f>
        <v>98825.999999999985</v>
      </c>
      <c r="K64" s="28">
        <f>F64-J64</f>
        <v>48174.000000000015</v>
      </c>
      <c r="L64" s="40">
        <f t="shared" ref="L64" si="31">K64/F64</f>
        <v>0.32771428571428579</v>
      </c>
      <c r="M64" s="28"/>
    </row>
    <row r="65" spans="1:13" ht="24" customHeight="1">
      <c r="A65" s="31" t="s">
        <v>106</v>
      </c>
      <c r="B65" s="25" t="s">
        <v>113</v>
      </c>
      <c r="C65" s="21" t="s">
        <v>44</v>
      </c>
      <c r="D65" s="21">
        <f>ROUNDUP(H65*1.1,0)</f>
        <v>137</v>
      </c>
      <c r="E65" s="32">
        <v>350</v>
      </c>
      <c r="F65" s="32">
        <f t="shared" si="29"/>
        <v>47950</v>
      </c>
      <c r="G65" s="33"/>
      <c r="H65" s="28">
        <f>數量表!N14</f>
        <v>124.1</v>
      </c>
      <c r="I65" s="28">
        <v>250</v>
      </c>
      <c r="J65" s="28">
        <f>I65*H65</f>
        <v>31025</v>
      </c>
      <c r="K65" s="28">
        <f>F65-J65</f>
        <v>16925</v>
      </c>
      <c r="L65" s="40">
        <f t="shared" ref="L65" si="32">K65/F65</f>
        <v>0.35297184567257561</v>
      </c>
      <c r="M65" s="28"/>
    </row>
    <row r="66" spans="1:13" ht="24" customHeight="1">
      <c r="A66" s="31"/>
      <c r="B66" s="25"/>
      <c r="C66" s="21"/>
      <c r="D66" s="21"/>
      <c r="E66" s="32"/>
      <c r="F66" s="32"/>
      <c r="G66" s="33"/>
      <c r="H66" s="28"/>
      <c r="I66" s="28"/>
      <c r="J66" s="28"/>
      <c r="K66" s="28"/>
      <c r="L66" s="40"/>
      <c r="M66" s="28"/>
    </row>
    <row r="67" spans="1:13" ht="24" customHeight="1">
      <c r="A67" s="31" t="s">
        <v>114</v>
      </c>
      <c r="B67" s="25" t="s">
        <v>38</v>
      </c>
      <c r="C67" s="21"/>
      <c r="D67" s="21"/>
      <c r="E67" s="32"/>
      <c r="F67" s="32"/>
      <c r="G67" s="33"/>
      <c r="H67" s="28"/>
      <c r="I67" s="28"/>
      <c r="J67" s="28"/>
      <c r="K67" s="28"/>
      <c r="L67" s="40"/>
      <c r="M67" s="28"/>
    </row>
    <row r="68" spans="1:13" ht="24" customHeight="1">
      <c r="A68" s="31" t="s">
        <v>115</v>
      </c>
      <c r="B68" s="25" t="s">
        <v>147</v>
      </c>
      <c r="C68" s="21" t="s">
        <v>87</v>
      </c>
      <c r="D68" s="21">
        <v>1</v>
      </c>
      <c r="E68" s="32">
        <v>25000</v>
      </c>
      <c r="F68" s="32">
        <f t="shared" si="29"/>
        <v>25000</v>
      </c>
      <c r="G68" s="33"/>
      <c r="H68" s="66">
        <v>3</v>
      </c>
      <c r="I68" s="28">
        <v>5500</v>
      </c>
      <c r="J68" s="28">
        <f>I68*H68</f>
        <v>16500</v>
      </c>
      <c r="K68" s="28">
        <f>F68-J68</f>
        <v>8500</v>
      </c>
      <c r="L68" s="40">
        <f t="shared" ref="L68" si="33">K68/F68</f>
        <v>0.34</v>
      </c>
      <c r="M68" s="28"/>
    </row>
    <row r="69" spans="1:13" ht="24" customHeight="1">
      <c r="A69" s="31" t="s">
        <v>84</v>
      </c>
      <c r="B69" s="25" t="s">
        <v>145</v>
      </c>
      <c r="C69" s="21" t="s">
        <v>87</v>
      </c>
      <c r="D69" s="21">
        <v>1</v>
      </c>
      <c r="E69" s="32">
        <v>72000</v>
      </c>
      <c r="F69" s="32">
        <f t="shared" si="29"/>
        <v>72000</v>
      </c>
      <c r="G69" s="33"/>
      <c r="H69" s="66">
        <f>186/30</f>
        <v>6.2</v>
      </c>
      <c r="I69" s="28">
        <v>4500</v>
      </c>
      <c r="J69" s="28">
        <f>I69*H69+4*2200+186*75</f>
        <v>50650</v>
      </c>
      <c r="K69" s="28">
        <f>F69-J69</f>
        <v>21350</v>
      </c>
      <c r="L69" s="40">
        <f t="shared" ref="L69" si="34">K69/F69</f>
        <v>0.29652777777777778</v>
      </c>
      <c r="M69" s="28"/>
    </row>
    <row r="70" spans="1:13" ht="24" customHeight="1">
      <c r="A70" s="31" t="s">
        <v>53</v>
      </c>
      <c r="B70" s="25" t="s">
        <v>146</v>
      </c>
      <c r="C70" s="21" t="s">
        <v>87</v>
      </c>
      <c r="D70" s="21">
        <v>1</v>
      </c>
      <c r="E70" s="32">
        <v>24000</v>
      </c>
      <c r="F70" s="32">
        <f t="shared" si="29"/>
        <v>24000</v>
      </c>
      <c r="G70" s="33"/>
      <c r="H70" s="66">
        <f>180/30</f>
        <v>6</v>
      </c>
      <c r="I70" s="28">
        <v>2700</v>
      </c>
      <c r="J70" s="28">
        <f>I70*H70</f>
        <v>16200</v>
      </c>
      <c r="K70" s="28">
        <f>F70-J70</f>
        <v>7800</v>
      </c>
      <c r="L70" s="40">
        <f t="shared" ref="L70" si="35">K70/F70</f>
        <v>0.32500000000000001</v>
      </c>
      <c r="M70" s="28"/>
    </row>
    <row r="71" spans="1:13" ht="24" customHeight="1">
      <c r="A71" s="31" t="s">
        <v>149</v>
      </c>
      <c r="B71" s="25" t="s">
        <v>148</v>
      </c>
      <c r="C71" s="21" t="s">
        <v>87</v>
      </c>
      <c r="D71" s="21">
        <v>1</v>
      </c>
      <c r="E71" s="32">
        <v>26000</v>
      </c>
      <c r="F71" s="32">
        <f t="shared" si="29"/>
        <v>26000</v>
      </c>
      <c r="G71" s="33"/>
      <c r="H71" s="66">
        <f>180/30</f>
        <v>6</v>
      </c>
      <c r="I71" s="28">
        <v>2900</v>
      </c>
      <c r="J71" s="28">
        <f>I71*H71</f>
        <v>17400</v>
      </c>
      <c r="K71" s="28">
        <f>F71-J71</f>
        <v>8600</v>
      </c>
      <c r="L71" s="40">
        <f t="shared" ref="L71" si="36">K71/F71</f>
        <v>0.33076923076923076</v>
      </c>
      <c r="M71" s="28"/>
    </row>
    <row r="72" spans="1:13" ht="24" customHeight="1">
      <c r="A72" s="31" t="s">
        <v>151</v>
      </c>
      <c r="B72" s="25" t="s">
        <v>150</v>
      </c>
      <c r="C72" s="21" t="s">
        <v>87</v>
      </c>
      <c r="D72" s="21">
        <v>1</v>
      </c>
      <c r="E72" s="32">
        <v>18500</v>
      </c>
      <c r="F72" s="32">
        <f t="shared" si="29"/>
        <v>18500</v>
      </c>
      <c r="G72" s="33"/>
      <c r="H72" s="66">
        <v>3</v>
      </c>
      <c r="I72" s="28">
        <v>2900</v>
      </c>
      <c r="J72" s="28">
        <f>I72*H72+4500</f>
        <v>13200</v>
      </c>
      <c r="K72" s="28">
        <f>F72-J72</f>
        <v>5300</v>
      </c>
      <c r="L72" s="40">
        <f t="shared" ref="L72" si="37">K72/F72</f>
        <v>0.2864864864864865</v>
      </c>
      <c r="M72" s="28"/>
    </row>
    <row r="73" spans="1:13" ht="24" customHeight="1">
      <c r="A73" s="31"/>
      <c r="B73" s="25"/>
      <c r="C73" s="21"/>
      <c r="D73" s="21"/>
      <c r="E73" s="32"/>
      <c r="F73" s="32"/>
      <c r="G73" s="33"/>
      <c r="H73" s="66"/>
      <c r="I73" s="28"/>
      <c r="J73" s="28"/>
      <c r="K73" s="28"/>
      <c r="L73" s="40"/>
      <c r="M73" s="28"/>
    </row>
    <row r="74" spans="1:13" ht="24" customHeight="1">
      <c r="A74" s="31" t="s">
        <v>116</v>
      </c>
      <c r="B74" s="25" t="s">
        <v>37</v>
      </c>
      <c r="C74" s="21"/>
      <c r="D74" s="21"/>
      <c r="E74" s="32"/>
      <c r="F74" s="32"/>
      <c r="G74" s="33"/>
      <c r="H74" s="28"/>
      <c r="I74" s="28"/>
      <c r="J74" s="28"/>
      <c r="K74" s="28"/>
      <c r="L74" s="40"/>
      <c r="M74" s="28"/>
    </row>
    <row r="75" spans="1:13" ht="24" customHeight="1">
      <c r="A75" s="31" t="s">
        <v>280</v>
      </c>
      <c r="B75" s="25" t="s">
        <v>279</v>
      </c>
      <c r="C75" s="21" t="s">
        <v>46</v>
      </c>
      <c r="D75" s="21">
        <v>1</v>
      </c>
      <c r="E75" s="32">
        <v>78500</v>
      </c>
      <c r="F75" s="32">
        <f t="shared" si="29"/>
        <v>78500</v>
      </c>
      <c r="G75" s="72" t="s">
        <v>281</v>
      </c>
      <c r="H75" s="28">
        <v>1</v>
      </c>
      <c r="I75" s="28">
        <v>52000</v>
      </c>
      <c r="J75" s="28">
        <f t="shared" ref="J75:J76" si="38">I75*H75</f>
        <v>52000</v>
      </c>
      <c r="K75" s="28">
        <f t="shared" ref="K75:K76" si="39">F75-J75</f>
        <v>26500</v>
      </c>
      <c r="L75" s="40">
        <f t="shared" ref="L75:L76" si="40">K75/F75</f>
        <v>0.33757961783439489</v>
      </c>
      <c r="M75" s="28"/>
    </row>
    <row r="76" spans="1:13" ht="24" customHeight="1">
      <c r="A76" s="31" t="s">
        <v>117</v>
      </c>
      <c r="B76" s="25" t="s">
        <v>152</v>
      </c>
      <c r="C76" s="21" t="s">
        <v>46</v>
      </c>
      <c r="D76" s="21">
        <v>5</v>
      </c>
      <c r="E76" s="32">
        <v>45000</v>
      </c>
      <c r="F76" s="32">
        <f t="shared" si="29"/>
        <v>225000</v>
      </c>
      <c r="G76" s="33"/>
      <c r="H76" s="28">
        <v>3</v>
      </c>
      <c r="I76" s="28">
        <v>31000</v>
      </c>
      <c r="J76" s="28">
        <f t="shared" si="38"/>
        <v>93000</v>
      </c>
      <c r="K76" s="28">
        <f t="shared" si="39"/>
        <v>132000</v>
      </c>
      <c r="L76" s="40">
        <f t="shared" si="40"/>
        <v>0.58666666666666667</v>
      </c>
      <c r="M76" s="28"/>
    </row>
    <row r="77" spans="1:13" ht="24" customHeight="1">
      <c r="A77" s="31" t="s">
        <v>118</v>
      </c>
      <c r="B77" s="25" t="s">
        <v>153</v>
      </c>
      <c r="C77" s="21" t="s">
        <v>46</v>
      </c>
      <c r="D77" s="21">
        <v>5</v>
      </c>
      <c r="E77" s="32">
        <v>45000</v>
      </c>
      <c r="F77" s="32">
        <f t="shared" ref="F77" si="41">E77*D77</f>
        <v>225000</v>
      </c>
      <c r="G77" s="33"/>
      <c r="H77" s="28">
        <v>5</v>
      </c>
      <c r="I77" s="28">
        <v>31000</v>
      </c>
      <c r="J77" s="28">
        <f t="shared" ref="J77" si="42">I77*H77</f>
        <v>155000</v>
      </c>
      <c r="K77" s="28">
        <f t="shared" ref="K77" si="43">F77-J77</f>
        <v>70000</v>
      </c>
      <c r="L77" s="40">
        <f t="shared" ref="L77" si="44">K77/F77</f>
        <v>0.31111111111111112</v>
      </c>
      <c r="M77" s="28"/>
    </row>
    <row r="78" spans="1:13" ht="24" customHeight="1">
      <c r="A78" s="31"/>
      <c r="B78" s="25"/>
      <c r="C78" s="21"/>
      <c r="D78" s="21"/>
      <c r="E78" s="32"/>
      <c r="F78" s="32"/>
      <c r="G78" s="33"/>
      <c r="H78" s="28"/>
      <c r="I78" s="28"/>
      <c r="J78" s="28"/>
      <c r="K78" s="28"/>
      <c r="L78" s="40"/>
      <c r="M78" s="28"/>
    </row>
    <row r="79" spans="1:13" ht="24" customHeight="1">
      <c r="A79" s="31" t="s">
        <v>119</v>
      </c>
      <c r="B79" s="25" t="s">
        <v>86</v>
      </c>
      <c r="C79" s="21"/>
      <c r="D79" s="21"/>
      <c r="E79" s="32"/>
      <c r="F79" s="32"/>
      <c r="G79" s="33"/>
      <c r="H79" s="28"/>
      <c r="I79" s="28"/>
      <c r="J79" s="28"/>
      <c r="K79" s="28"/>
      <c r="L79" s="40"/>
      <c r="M79" s="28"/>
    </row>
    <row r="80" spans="1:13" ht="24" customHeight="1">
      <c r="A80" s="31" t="s">
        <v>120</v>
      </c>
      <c r="B80" s="26" t="s">
        <v>254</v>
      </c>
      <c r="C80" s="21" t="s">
        <v>159</v>
      </c>
      <c r="D80" s="21">
        <v>7</v>
      </c>
      <c r="E80" s="32">
        <v>7500</v>
      </c>
      <c r="F80" s="32">
        <f t="shared" ref="F80:F91" si="45">E80*D80</f>
        <v>52500</v>
      </c>
      <c r="G80" s="33"/>
      <c r="H80" s="28">
        <v>7</v>
      </c>
      <c r="I80" s="28">
        <v>5200</v>
      </c>
      <c r="J80" s="28">
        <f t="shared" ref="J80" si="46">I80*H80</f>
        <v>36400</v>
      </c>
      <c r="K80" s="28">
        <f t="shared" ref="K80" si="47">F80-J80</f>
        <v>16100</v>
      </c>
      <c r="L80" s="40">
        <f t="shared" ref="L80" si="48">K80/F80</f>
        <v>0.30666666666666664</v>
      </c>
      <c r="M80" s="28"/>
    </row>
    <row r="81" spans="1:13" ht="24" customHeight="1">
      <c r="A81" s="31" t="s">
        <v>85</v>
      </c>
      <c r="B81" s="26" t="s">
        <v>255</v>
      </c>
      <c r="C81" s="21" t="s">
        <v>23</v>
      </c>
      <c r="D81" s="70">
        <v>1</v>
      </c>
      <c r="E81" s="32">
        <v>8000</v>
      </c>
      <c r="F81" s="32">
        <f t="shared" si="45"/>
        <v>8000</v>
      </c>
      <c r="G81" s="33"/>
      <c r="H81" s="28">
        <v>1</v>
      </c>
      <c r="I81" s="28">
        <v>4000</v>
      </c>
      <c r="J81" s="28">
        <f t="shared" ref="J81:J82" si="49">I81*H81</f>
        <v>4000</v>
      </c>
      <c r="K81" s="28">
        <f t="shared" ref="K81:K82" si="50">F81-J81</f>
        <v>4000</v>
      </c>
      <c r="L81" s="40">
        <f t="shared" ref="L81:L82" si="51">K81/F81</f>
        <v>0.5</v>
      </c>
      <c r="M81" s="28"/>
    </row>
    <row r="82" spans="1:13" ht="24" customHeight="1">
      <c r="A82" s="31" t="s">
        <v>160</v>
      </c>
      <c r="B82" s="26" t="s">
        <v>256</v>
      </c>
      <c r="C82" s="21" t="s">
        <v>23</v>
      </c>
      <c r="D82" s="70">
        <v>1</v>
      </c>
      <c r="E82" s="32">
        <v>8000</v>
      </c>
      <c r="F82" s="32">
        <f t="shared" si="45"/>
        <v>8000</v>
      </c>
      <c r="G82" s="33"/>
      <c r="H82" s="28">
        <v>1</v>
      </c>
      <c r="I82" s="28">
        <v>4000</v>
      </c>
      <c r="J82" s="28">
        <f t="shared" si="49"/>
        <v>4000</v>
      </c>
      <c r="K82" s="28">
        <f t="shared" si="50"/>
        <v>4000</v>
      </c>
      <c r="L82" s="40">
        <f t="shared" si="51"/>
        <v>0.5</v>
      </c>
      <c r="M82" s="28"/>
    </row>
    <row r="83" spans="1:13" ht="24" customHeight="1">
      <c r="A83" s="31" t="s">
        <v>161</v>
      </c>
      <c r="B83" s="26" t="s">
        <v>65</v>
      </c>
      <c r="C83" s="21" t="s">
        <v>159</v>
      </c>
      <c r="D83" s="21">
        <v>2</v>
      </c>
      <c r="E83" s="32">
        <v>4200</v>
      </c>
      <c r="F83" s="32">
        <f t="shared" si="45"/>
        <v>8400</v>
      </c>
      <c r="G83" s="33"/>
      <c r="H83" s="28">
        <v>2</v>
      </c>
      <c r="I83" s="28">
        <v>3000</v>
      </c>
      <c r="J83" s="28">
        <f t="shared" ref="J83:J90" si="52">I83*H83</f>
        <v>6000</v>
      </c>
      <c r="K83" s="28">
        <f t="shared" ref="K83:K90" si="53">F83-J83</f>
        <v>2400</v>
      </c>
      <c r="L83" s="40">
        <f t="shared" ref="L83:L90" si="54">K83/F83</f>
        <v>0.2857142857142857</v>
      </c>
      <c r="M83" s="28"/>
    </row>
    <row r="84" spans="1:13" ht="29.4" customHeight="1">
      <c r="A84" s="31" t="s">
        <v>162</v>
      </c>
      <c r="B84" s="26" t="s">
        <v>155</v>
      </c>
      <c r="C84" s="21" t="s">
        <v>23</v>
      </c>
      <c r="D84" s="70">
        <v>1</v>
      </c>
      <c r="E84" s="32">
        <v>45000</v>
      </c>
      <c r="F84" s="32">
        <f t="shared" si="45"/>
        <v>45000</v>
      </c>
      <c r="G84" s="33"/>
      <c r="H84" s="28">
        <v>1</v>
      </c>
      <c r="I84" s="28">
        <v>32000</v>
      </c>
      <c r="J84" s="28">
        <f t="shared" si="52"/>
        <v>32000</v>
      </c>
      <c r="K84" s="28">
        <f t="shared" si="53"/>
        <v>13000</v>
      </c>
      <c r="L84" s="40">
        <f t="shared" si="54"/>
        <v>0.28888888888888886</v>
      </c>
      <c r="M84" s="28"/>
    </row>
    <row r="85" spans="1:13" ht="24" customHeight="1">
      <c r="A85" s="31" t="s">
        <v>163</v>
      </c>
      <c r="B85" s="26" t="s">
        <v>156</v>
      </c>
      <c r="C85" s="21" t="s">
        <v>23</v>
      </c>
      <c r="D85" s="70">
        <v>1</v>
      </c>
      <c r="E85" s="32">
        <v>48000</v>
      </c>
      <c r="F85" s="32">
        <f t="shared" si="45"/>
        <v>48000</v>
      </c>
      <c r="G85" s="33"/>
      <c r="H85" s="28">
        <v>1</v>
      </c>
      <c r="I85" s="28">
        <v>35000</v>
      </c>
      <c r="J85" s="28">
        <f t="shared" si="52"/>
        <v>35000</v>
      </c>
      <c r="K85" s="28">
        <f t="shared" si="53"/>
        <v>13000</v>
      </c>
      <c r="L85" s="40">
        <f t="shared" si="54"/>
        <v>0.27083333333333331</v>
      </c>
      <c r="M85" s="28"/>
    </row>
    <row r="86" spans="1:13" ht="24" customHeight="1">
      <c r="A86" s="31" t="s">
        <v>164</v>
      </c>
      <c r="B86" s="26" t="s">
        <v>167</v>
      </c>
      <c r="C86" s="70" t="s">
        <v>154</v>
      </c>
      <c r="D86" s="70">
        <v>1</v>
      </c>
      <c r="E86" s="32">
        <v>35000</v>
      </c>
      <c r="F86" s="32">
        <f t="shared" si="45"/>
        <v>35000</v>
      </c>
      <c r="G86" s="33"/>
      <c r="H86" s="28">
        <v>1</v>
      </c>
      <c r="I86" s="28">
        <v>22000</v>
      </c>
      <c r="J86" s="28">
        <f t="shared" si="52"/>
        <v>22000</v>
      </c>
      <c r="K86" s="28">
        <f t="shared" si="53"/>
        <v>13000</v>
      </c>
      <c r="L86" s="40">
        <f t="shared" si="54"/>
        <v>0.37142857142857144</v>
      </c>
      <c r="M86" s="28"/>
    </row>
    <row r="87" spans="1:13" ht="24" customHeight="1">
      <c r="A87" s="31" t="s">
        <v>165</v>
      </c>
      <c r="B87" s="26" t="s">
        <v>157</v>
      </c>
      <c r="C87" s="21" t="s">
        <v>23</v>
      </c>
      <c r="D87" s="70">
        <v>1</v>
      </c>
      <c r="E87" s="32">
        <v>52000</v>
      </c>
      <c r="F87" s="32">
        <f t="shared" si="45"/>
        <v>52000</v>
      </c>
      <c r="G87" s="33"/>
      <c r="H87" s="28">
        <v>1</v>
      </c>
      <c r="I87" s="28">
        <v>35000</v>
      </c>
      <c r="J87" s="28">
        <f t="shared" si="52"/>
        <v>35000</v>
      </c>
      <c r="K87" s="28">
        <f t="shared" si="53"/>
        <v>17000</v>
      </c>
      <c r="L87" s="40">
        <f t="shared" si="54"/>
        <v>0.32692307692307693</v>
      </c>
      <c r="M87" s="28"/>
    </row>
    <row r="88" spans="1:13" ht="24" customHeight="1">
      <c r="A88" s="31" t="s">
        <v>166</v>
      </c>
      <c r="B88" s="26" t="s">
        <v>158</v>
      </c>
      <c r="C88" s="21" t="s">
        <v>159</v>
      </c>
      <c r="D88" s="70" ph="1">
        <v>5</v>
      </c>
      <c r="E88" s="32">
        <v>5500</v>
      </c>
      <c r="F88" s="32">
        <f t="shared" si="45"/>
        <v>27500</v>
      </c>
      <c r="G88" s="33"/>
      <c r="H88" s="28">
        <v>5</v>
      </c>
      <c r="I88" s="28">
        <v>3500</v>
      </c>
      <c r="J88" s="28">
        <f t="shared" si="52"/>
        <v>17500</v>
      </c>
      <c r="K88" s="28">
        <f t="shared" si="53"/>
        <v>10000</v>
      </c>
      <c r="L88" s="40">
        <f t="shared" si="54"/>
        <v>0.36363636363636365</v>
      </c>
      <c r="M88" s="28"/>
    </row>
    <row r="89" spans="1:13" ht="24" customHeight="1">
      <c r="A89" s="31" t="s">
        <v>168</v>
      </c>
      <c r="B89" s="26" t="s">
        <v>175</v>
      </c>
      <c r="C89" s="21" t="s">
        <v>23</v>
      </c>
      <c r="D89" s="70">
        <v>1</v>
      </c>
      <c r="E89" s="32">
        <v>55000</v>
      </c>
      <c r="F89" s="32">
        <f t="shared" si="45"/>
        <v>55000</v>
      </c>
      <c r="G89" s="33"/>
      <c r="H89" s="28">
        <v>1</v>
      </c>
      <c r="I89" s="28">
        <v>35000</v>
      </c>
      <c r="J89" s="28">
        <f t="shared" si="52"/>
        <v>35000</v>
      </c>
      <c r="K89" s="28">
        <f t="shared" si="53"/>
        <v>20000</v>
      </c>
      <c r="L89" s="40">
        <f t="shared" si="54"/>
        <v>0.36363636363636365</v>
      </c>
      <c r="M89" s="28"/>
    </row>
    <row r="90" spans="1:13" ht="24" customHeight="1">
      <c r="A90" s="31" t="s">
        <v>170</v>
      </c>
      <c r="B90" s="26" t="s">
        <v>169</v>
      </c>
      <c r="C90" s="21" t="s">
        <v>23</v>
      </c>
      <c r="D90" s="70">
        <v>1</v>
      </c>
      <c r="E90" s="32">
        <v>120000</v>
      </c>
      <c r="F90" s="32">
        <f t="shared" si="45"/>
        <v>120000</v>
      </c>
      <c r="G90" s="33"/>
      <c r="H90" s="28">
        <v>1</v>
      </c>
      <c r="I90" s="28">
        <v>70000</v>
      </c>
      <c r="J90" s="28">
        <f t="shared" si="52"/>
        <v>70000</v>
      </c>
      <c r="K90" s="28">
        <f t="shared" si="53"/>
        <v>50000</v>
      </c>
      <c r="L90" s="40">
        <f t="shared" si="54"/>
        <v>0.41666666666666669</v>
      </c>
      <c r="M90" s="28"/>
    </row>
    <row r="91" spans="1:13" ht="24" customHeight="1">
      <c r="A91" s="31" t="s">
        <v>173</v>
      </c>
      <c r="B91" s="26" t="s">
        <v>251</v>
      </c>
      <c r="C91" s="21" t="s">
        <v>172</v>
      </c>
      <c r="D91" s="21">
        <f>ROUNDUP(H91*1.1,0)</f>
        <v>500</v>
      </c>
      <c r="E91" s="32">
        <v>110</v>
      </c>
      <c r="F91" s="32">
        <f t="shared" si="45"/>
        <v>55000</v>
      </c>
      <c r="G91" s="33"/>
      <c r="H91" s="28">
        <f>數量表!W14</f>
        <v>454</v>
      </c>
      <c r="I91" s="28">
        <v>50</v>
      </c>
      <c r="J91" s="28">
        <f t="shared" ref="J91:J92" si="55">I91*H91</f>
        <v>22700</v>
      </c>
      <c r="K91" s="28">
        <f t="shared" ref="K91:K92" si="56">F91-J91</f>
        <v>32300</v>
      </c>
      <c r="L91" s="40">
        <f t="shared" ref="L91:L92" si="57">K91/F91</f>
        <v>0.58727272727272728</v>
      </c>
      <c r="M91" s="28"/>
    </row>
    <row r="92" spans="1:13" ht="24" customHeight="1">
      <c r="A92" s="31" t="s">
        <v>177</v>
      </c>
      <c r="B92" s="26" t="s">
        <v>176</v>
      </c>
      <c r="C92" s="21" t="s">
        <v>23</v>
      </c>
      <c r="D92" s="70">
        <v>1</v>
      </c>
      <c r="E92" s="32">
        <v>75000</v>
      </c>
      <c r="F92" s="32">
        <f t="shared" ref="F92" si="58">E92*D92</f>
        <v>75000</v>
      </c>
      <c r="G92" s="33"/>
      <c r="H92" s="28">
        <v>1</v>
      </c>
      <c r="I92" s="28">
        <v>45000</v>
      </c>
      <c r="J92" s="28">
        <f t="shared" si="55"/>
        <v>45000</v>
      </c>
      <c r="K92" s="28">
        <f t="shared" si="56"/>
        <v>30000</v>
      </c>
      <c r="L92" s="40">
        <f t="shared" si="57"/>
        <v>0.4</v>
      </c>
      <c r="M92" s="28"/>
    </row>
    <row r="93" spans="1:13" ht="24" customHeight="1">
      <c r="A93" s="31" t="s">
        <v>178</v>
      </c>
      <c r="B93" s="25" t="s">
        <v>174</v>
      </c>
      <c r="C93" s="21" t="s">
        <v>97</v>
      </c>
      <c r="D93" s="21">
        <v>5</v>
      </c>
      <c r="E93" s="32">
        <v>4500</v>
      </c>
      <c r="F93" s="32">
        <f t="shared" ref="F93" si="59">E93*D93</f>
        <v>22500</v>
      </c>
      <c r="G93" s="33"/>
      <c r="H93" s="28">
        <v>5</v>
      </c>
      <c r="I93" s="28">
        <v>3500</v>
      </c>
      <c r="J93" s="28">
        <f t="shared" ref="J93" si="60">I93*H93</f>
        <v>17500</v>
      </c>
      <c r="K93" s="28">
        <f t="shared" ref="K93" si="61">F93-J93</f>
        <v>5000</v>
      </c>
      <c r="L93" s="40">
        <f t="shared" ref="L93" si="62">K93/F93</f>
        <v>0.22222222222222221</v>
      </c>
      <c r="M93" s="28"/>
    </row>
    <row r="94" spans="1:13" ht="24" customHeight="1">
      <c r="A94" s="36"/>
      <c r="B94" s="29" t="s">
        <v>121</v>
      </c>
      <c r="C94" s="30"/>
      <c r="D94" s="30"/>
      <c r="E94" s="37"/>
      <c r="F94" s="38">
        <f>SUM(F55:F93)</f>
        <v>2644560</v>
      </c>
      <c r="G94" s="39"/>
      <c r="H94" s="28"/>
      <c r="I94" s="28"/>
      <c r="J94" s="28">
        <f>SUM(J55:J93)</f>
        <v>1758456.5</v>
      </c>
      <c r="K94" s="28">
        <f t="shared" ref="K94" si="63">F94-J94</f>
        <v>886103.5</v>
      </c>
      <c r="L94" s="40">
        <f t="shared" ref="L94" si="64">K94/F94</f>
        <v>0.33506651390023295</v>
      </c>
      <c r="M94" s="28"/>
    </row>
    <row r="95" spans="1:13" ht="24" customHeight="1">
      <c r="A95" s="31"/>
      <c r="B95" s="25"/>
      <c r="C95" s="21"/>
      <c r="D95" s="21"/>
      <c r="E95" s="32"/>
      <c r="F95" s="32"/>
      <c r="G95" s="33"/>
      <c r="H95" s="28"/>
      <c r="I95" s="28"/>
      <c r="J95" s="28"/>
      <c r="K95" s="28"/>
      <c r="L95" s="40"/>
      <c r="M95" s="28"/>
    </row>
    <row r="96" spans="1:13" ht="24" customHeight="1">
      <c r="A96" s="31" t="s">
        <v>21</v>
      </c>
      <c r="B96" s="25" t="s">
        <v>26</v>
      </c>
      <c r="C96" s="21"/>
      <c r="D96" s="21"/>
      <c r="E96" s="32"/>
      <c r="F96" s="32"/>
      <c r="G96" s="33"/>
      <c r="H96" s="28"/>
      <c r="I96" s="28"/>
      <c r="J96" s="28"/>
      <c r="K96" s="28"/>
      <c r="L96" s="40"/>
      <c r="M96" s="28"/>
    </row>
    <row r="97" spans="1:13" ht="24" customHeight="1">
      <c r="A97" s="31" t="s">
        <v>215</v>
      </c>
      <c r="B97" s="25" t="s">
        <v>98</v>
      </c>
      <c r="C97" s="21" t="s">
        <v>96</v>
      </c>
      <c r="D97" s="21">
        <v>2</v>
      </c>
      <c r="E97" s="32">
        <v>65000</v>
      </c>
      <c r="F97" s="32">
        <f>E97*D97</f>
        <v>130000</v>
      </c>
      <c r="G97" s="65"/>
      <c r="H97" s="28">
        <v>2</v>
      </c>
      <c r="I97" s="28">
        <v>35000</v>
      </c>
      <c r="J97" s="28">
        <f t="shared" ref="J97:J106" si="65">I97*H97</f>
        <v>70000</v>
      </c>
      <c r="K97" s="28">
        <f t="shared" ref="K97:K108" si="66">F97-J97</f>
        <v>60000</v>
      </c>
      <c r="L97" s="40">
        <f t="shared" ref="L97:L108" si="67">K97/F97</f>
        <v>0.46153846153846156</v>
      </c>
      <c r="M97" s="28"/>
    </row>
    <row r="98" spans="1:13" ht="24" customHeight="1">
      <c r="A98" s="31" t="s">
        <v>216</v>
      </c>
      <c r="B98" s="25" t="s">
        <v>213</v>
      </c>
      <c r="C98" s="21" t="s">
        <v>214</v>
      </c>
      <c r="D98" s="21">
        <v>11</v>
      </c>
      <c r="E98" s="32">
        <v>4500</v>
      </c>
      <c r="F98" s="32">
        <f t="shared" ref="F98:F105" si="68">E98*D98</f>
        <v>49500</v>
      </c>
      <c r="G98" s="65"/>
      <c r="H98" s="28">
        <v>13</v>
      </c>
      <c r="I98" s="28">
        <v>3000</v>
      </c>
      <c r="J98" s="28">
        <f t="shared" ref="J98" si="69">I98*H98</f>
        <v>39000</v>
      </c>
      <c r="K98" s="28">
        <f t="shared" ref="K98" si="70">F98-J98</f>
        <v>10500</v>
      </c>
      <c r="L98" s="40">
        <f t="shared" ref="L98" si="71">K98/F98</f>
        <v>0.21212121212121213</v>
      </c>
      <c r="M98" s="28"/>
    </row>
    <row r="99" spans="1:13" ht="24" customHeight="1">
      <c r="A99" s="31" t="s">
        <v>217</v>
      </c>
      <c r="B99" s="25" t="s">
        <v>269</v>
      </c>
      <c r="C99" s="21" t="s">
        <v>214</v>
      </c>
      <c r="D99" s="21">
        <v>3</v>
      </c>
      <c r="E99" s="32">
        <v>8000</v>
      </c>
      <c r="F99" s="32">
        <f t="shared" si="68"/>
        <v>24000</v>
      </c>
      <c r="G99" s="65"/>
      <c r="H99" s="28">
        <v>3</v>
      </c>
      <c r="I99" s="28">
        <v>5000</v>
      </c>
      <c r="J99" s="28">
        <f t="shared" ref="J99" si="72">I99*H99</f>
        <v>15000</v>
      </c>
      <c r="K99" s="28">
        <f t="shared" ref="K99" si="73">F99-J99</f>
        <v>9000</v>
      </c>
      <c r="L99" s="40">
        <f t="shared" ref="L99" si="74">K99/F99</f>
        <v>0.375</v>
      </c>
      <c r="M99" s="28"/>
    </row>
    <row r="100" spans="1:13" ht="24" customHeight="1">
      <c r="A100" s="31" t="s">
        <v>218</v>
      </c>
      <c r="B100" s="25" t="s">
        <v>124</v>
      </c>
      <c r="C100" s="21" t="s">
        <v>101</v>
      </c>
      <c r="D100" s="21">
        <v>36</v>
      </c>
      <c r="E100" s="32">
        <v>3200</v>
      </c>
      <c r="F100" s="32">
        <f t="shared" si="68"/>
        <v>115200</v>
      </c>
      <c r="G100" s="42"/>
      <c r="H100" s="28">
        <v>36</v>
      </c>
      <c r="I100" s="28">
        <v>2000</v>
      </c>
      <c r="J100" s="28">
        <f t="shared" si="65"/>
        <v>72000</v>
      </c>
      <c r="K100" s="28">
        <f t="shared" si="66"/>
        <v>43200</v>
      </c>
      <c r="L100" s="40">
        <f t="shared" si="67"/>
        <v>0.375</v>
      </c>
      <c r="M100" s="28"/>
    </row>
    <row r="101" spans="1:13" ht="24" customHeight="1">
      <c r="A101" s="31" t="s">
        <v>219</v>
      </c>
      <c r="B101" s="25" t="s">
        <v>99</v>
      </c>
      <c r="C101" s="21" t="s">
        <v>101</v>
      </c>
      <c r="D101" s="21">
        <v>5</v>
      </c>
      <c r="E101" s="32">
        <v>2500</v>
      </c>
      <c r="F101" s="32">
        <f t="shared" si="68"/>
        <v>12500</v>
      </c>
      <c r="G101" s="42"/>
      <c r="H101" s="28">
        <v>3</v>
      </c>
      <c r="I101" s="28">
        <v>1400</v>
      </c>
      <c r="J101" s="28">
        <f t="shared" si="65"/>
        <v>4200</v>
      </c>
      <c r="K101" s="28">
        <f t="shared" si="66"/>
        <v>8300</v>
      </c>
      <c r="L101" s="40">
        <f t="shared" si="67"/>
        <v>0.66400000000000003</v>
      </c>
      <c r="M101" s="28"/>
    </row>
    <row r="102" spans="1:13" ht="24" customHeight="1">
      <c r="A102" s="31" t="s">
        <v>220</v>
      </c>
      <c r="B102" s="25" t="s">
        <v>276</v>
      </c>
      <c r="C102" s="21" t="s">
        <v>52</v>
      </c>
      <c r="D102" s="21">
        <v>1</v>
      </c>
      <c r="E102" s="32">
        <v>45000</v>
      </c>
      <c r="F102" s="32">
        <f t="shared" si="68"/>
        <v>45000</v>
      </c>
      <c r="G102" s="65"/>
      <c r="H102" s="28">
        <v>1</v>
      </c>
      <c r="I102" s="28"/>
      <c r="J102" s="28">
        <f t="shared" ref="J102" si="75">I102*H102</f>
        <v>0</v>
      </c>
      <c r="K102" s="28">
        <f t="shared" ref="K102" si="76">F102-J102</f>
        <v>45000</v>
      </c>
      <c r="L102" s="40">
        <f t="shared" ref="L102" si="77">K102/F102</f>
        <v>1</v>
      </c>
      <c r="M102" s="28"/>
    </row>
    <row r="103" spans="1:13" ht="24" customHeight="1">
      <c r="A103" s="31" t="s">
        <v>221</v>
      </c>
      <c r="B103" s="25" t="s">
        <v>180</v>
      </c>
      <c r="C103" s="21" t="s">
        <v>52</v>
      </c>
      <c r="D103" s="21">
        <v>1</v>
      </c>
      <c r="E103" s="32">
        <v>73000</v>
      </c>
      <c r="F103" s="32">
        <f t="shared" si="68"/>
        <v>73000</v>
      </c>
      <c r="G103" s="42"/>
      <c r="H103" s="28">
        <v>1</v>
      </c>
      <c r="I103" s="28">
        <v>50000</v>
      </c>
      <c r="J103" s="28">
        <f t="shared" si="65"/>
        <v>50000</v>
      </c>
      <c r="K103" s="28">
        <f t="shared" si="66"/>
        <v>23000</v>
      </c>
      <c r="L103" s="40">
        <f t="shared" si="67"/>
        <v>0.31506849315068491</v>
      </c>
      <c r="M103" s="28"/>
    </row>
    <row r="104" spans="1:13" ht="24" customHeight="1">
      <c r="A104" s="31" t="s">
        <v>270</v>
      </c>
      <c r="B104" s="25" t="s">
        <v>288</v>
      </c>
      <c r="C104" s="21" t="s">
        <v>52</v>
      </c>
      <c r="D104" s="21">
        <v>1</v>
      </c>
      <c r="E104" s="32">
        <v>65000</v>
      </c>
      <c r="F104" s="32">
        <f t="shared" si="68"/>
        <v>65000</v>
      </c>
      <c r="G104" s="42"/>
      <c r="H104" s="28">
        <v>1</v>
      </c>
      <c r="I104" s="28">
        <v>35000</v>
      </c>
      <c r="J104" s="28">
        <f t="shared" si="65"/>
        <v>35000</v>
      </c>
      <c r="K104" s="28">
        <f t="shared" si="66"/>
        <v>30000</v>
      </c>
      <c r="L104" s="40">
        <f t="shared" si="67"/>
        <v>0.46153846153846156</v>
      </c>
      <c r="M104" s="28"/>
    </row>
    <row r="105" spans="1:13" ht="24" customHeight="1">
      <c r="A105" s="31" t="s">
        <v>273</v>
      </c>
      <c r="B105" s="25" t="s">
        <v>179</v>
      </c>
      <c r="C105" s="21" t="s">
        <v>52</v>
      </c>
      <c r="D105" s="21">
        <v>1</v>
      </c>
      <c r="E105" s="32">
        <v>45000</v>
      </c>
      <c r="F105" s="32">
        <f t="shared" si="68"/>
        <v>45000</v>
      </c>
      <c r="G105" s="42"/>
      <c r="H105" s="28">
        <v>1</v>
      </c>
      <c r="I105" s="28">
        <v>30000</v>
      </c>
      <c r="J105" s="28">
        <f t="shared" si="65"/>
        <v>30000</v>
      </c>
      <c r="K105" s="28">
        <f t="shared" si="66"/>
        <v>15000</v>
      </c>
      <c r="L105" s="40">
        <f t="shared" si="67"/>
        <v>0.33333333333333331</v>
      </c>
      <c r="M105" s="28"/>
    </row>
    <row r="106" spans="1:13" ht="24" customHeight="1">
      <c r="A106" s="31" t="s">
        <v>277</v>
      </c>
      <c r="B106" s="25" t="s">
        <v>274</v>
      </c>
      <c r="C106" s="21" t="s">
        <v>52</v>
      </c>
      <c r="D106" s="21">
        <v>1</v>
      </c>
      <c r="E106" s="32">
        <v>8900</v>
      </c>
      <c r="F106" s="32">
        <f t="shared" ref="F106:F107" si="78">E106*D106</f>
        <v>8900</v>
      </c>
      <c r="G106" s="42"/>
      <c r="H106" s="28">
        <v>1</v>
      </c>
      <c r="I106" s="28">
        <v>7500</v>
      </c>
      <c r="J106" s="28">
        <f t="shared" si="65"/>
        <v>7500</v>
      </c>
      <c r="K106" s="28">
        <f t="shared" si="66"/>
        <v>1400</v>
      </c>
      <c r="L106" s="40">
        <f t="shared" si="67"/>
        <v>0.15730337078651685</v>
      </c>
      <c r="M106" s="28"/>
    </row>
    <row r="107" spans="1:13" ht="24" customHeight="1">
      <c r="A107" s="31" t="s">
        <v>284</v>
      </c>
      <c r="B107" s="25" t="s">
        <v>283</v>
      </c>
      <c r="C107" s="21" t="s">
        <v>52</v>
      </c>
      <c r="D107" s="21">
        <v>1</v>
      </c>
      <c r="E107" s="32">
        <v>155000</v>
      </c>
      <c r="F107" s="32">
        <f t="shared" si="78"/>
        <v>155000</v>
      </c>
      <c r="G107" s="42"/>
      <c r="H107" s="28"/>
      <c r="I107" s="28"/>
      <c r="J107" s="28"/>
      <c r="K107" s="28"/>
      <c r="L107" s="40"/>
      <c r="M107" s="28"/>
    </row>
    <row r="108" spans="1:13" ht="24" customHeight="1">
      <c r="A108" s="36"/>
      <c r="B108" s="29" t="s">
        <v>122</v>
      </c>
      <c r="C108" s="30"/>
      <c r="D108" s="30"/>
      <c r="E108" s="37"/>
      <c r="F108" s="38">
        <f>SUM(F97:F107)</f>
        <v>723100</v>
      </c>
      <c r="G108" s="39"/>
      <c r="H108" s="28"/>
      <c r="I108" s="28"/>
      <c r="J108" s="28">
        <f>SUM(J97:J106)</f>
        <v>322700</v>
      </c>
      <c r="K108" s="28">
        <f t="shared" si="66"/>
        <v>400400</v>
      </c>
      <c r="L108" s="40">
        <f t="shared" si="67"/>
        <v>0.55372700871248792</v>
      </c>
      <c r="M108" s="28"/>
    </row>
    <row r="109" spans="1:13" ht="24" customHeight="1">
      <c r="A109" s="31"/>
      <c r="B109" s="25"/>
      <c r="C109" s="21"/>
      <c r="D109" s="21"/>
      <c r="E109" s="32"/>
      <c r="F109" s="32"/>
      <c r="G109" s="42"/>
      <c r="H109" s="28"/>
      <c r="I109" s="28"/>
      <c r="J109" s="28"/>
      <c r="K109" s="28"/>
      <c r="L109" s="40"/>
      <c r="M109" s="28"/>
    </row>
    <row r="110" spans="1:13" ht="24" customHeight="1">
      <c r="A110" s="31" t="s">
        <v>22</v>
      </c>
      <c r="B110" s="25" t="s">
        <v>181</v>
      </c>
      <c r="C110" s="21"/>
      <c r="D110" s="21"/>
      <c r="E110" s="32"/>
      <c r="F110" s="32"/>
      <c r="G110" s="42"/>
      <c r="H110" s="28"/>
      <c r="I110" s="28"/>
      <c r="J110" s="28"/>
      <c r="K110" s="28"/>
      <c r="L110" s="40"/>
      <c r="M110" s="28"/>
    </row>
    <row r="111" spans="1:13" ht="24" customHeight="1">
      <c r="A111" s="31" t="s">
        <v>183</v>
      </c>
      <c r="B111" s="25" t="s">
        <v>182</v>
      </c>
      <c r="C111" s="21" t="s">
        <v>23</v>
      </c>
      <c r="D111" s="21">
        <v>1</v>
      </c>
      <c r="E111" s="32">
        <v>57000</v>
      </c>
      <c r="F111" s="32">
        <f t="shared" ref="F111:F115" si="79">E111*D111</f>
        <v>57000</v>
      </c>
      <c r="G111" s="42"/>
      <c r="H111" s="28">
        <v>1</v>
      </c>
      <c r="I111" s="28">
        <v>36000</v>
      </c>
      <c r="J111" s="28">
        <f t="shared" ref="J111" si="80">I111*H111</f>
        <v>36000</v>
      </c>
      <c r="K111" s="28">
        <f t="shared" ref="K111" si="81">F111-J111</f>
        <v>21000</v>
      </c>
      <c r="L111" s="40">
        <f t="shared" ref="L111" si="82">K111/F111</f>
        <v>0.36842105263157893</v>
      </c>
      <c r="M111" s="28"/>
    </row>
    <row r="112" spans="1:13" ht="29.4" customHeight="1">
      <c r="A112" s="31" t="s">
        <v>185</v>
      </c>
      <c r="B112" s="26" t="s">
        <v>184</v>
      </c>
      <c r="C112" s="21" t="s">
        <v>197</v>
      </c>
      <c r="D112" s="21">
        <v>9</v>
      </c>
      <c r="E112" s="32">
        <v>850</v>
      </c>
      <c r="F112" s="32">
        <f t="shared" si="79"/>
        <v>7650</v>
      </c>
      <c r="G112" s="42"/>
      <c r="H112" s="28">
        <v>9</v>
      </c>
      <c r="I112" s="28">
        <v>360</v>
      </c>
      <c r="J112" s="28">
        <f t="shared" ref="J112" si="83">I112*H112</f>
        <v>3240</v>
      </c>
      <c r="K112" s="28">
        <f t="shared" ref="K112" si="84">F112-J112</f>
        <v>4410</v>
      </c>
      <c r="L112" s="40">
        <f t="shared" ref="L112" si="85">K112/F112</f>
        <v>0.57647058823529407</v>
      </c>
      <c r="M112" s="28"/>
    </row>
    <row r="113" spans="1:13" ht="24" customHeight="1">
      <c r="A113" s="31" t="s">
        <v>186</v>
      </c>
      <c r="B113" s="25" t="s">
        <v>188</v>
      </c>
      <c r="C113" s="21" t="s">
        <v>23</v>
      </c>
      <c r="D113" s="21">
        <v>1</v>
      </c>
      <c r="E113" s="32">
        <v>45000</v>
      </c>
      <c r="F113" s="32">
        <f t="shared" si="79"/>
        <v>45000</v>
      </c>
      <c r="G113" s="42"/>
      <c r="H113" s="28">
        <v>1</v>
      </c>
      <c r="I113" s="28">
        <v>25000</v>
      </c>
      <c r="J113" s="28">
        <v>26253</v>
      </c>
      <c r="K113" s="28">
        <f t="shared" ref="K113:K115" si="86">F113-J113</f>
        <v>18747</v>
      </c>
      <c r="L113" s="40">
        <f t="shared" ref="L113:L115" si="87">K113/F113</f>
        <v>0.41660000000000003</v>
      </c>
      <c r="M113" s="28"/>
    </row>
    <row r="114" spans="1:13" ht="24" customHeight="1">
      <c r="A114" s="31" t="s">
        <v>187</v>
      </c>
      <c r="B114" s="25" t="s">
        <v>189</v>
      </c>
      <c r="C114" s="21" t="s">
        <v>23</v>
      </c>
      <c r="D114" s="21">
        <v>1</v>
      </c>
      <c r="E114" s="32">
        <v>12000</v>
      </c>
      <c r="F114" s="32">
        <f t="shared" si="79"/>
        <v>12000</v>
      </c>
      <c r="G114" s="42"/>
      <c r="H114" s="28">
        <v>1</v>
      </c>
      <c r="I114" s="28">
        <v>8000</v>
      </c>
      <c r="J114" s="28">
        <v>0</v>
      </c>
      <c r="K114" s="28">
        <f t="shared" si="86"/>
        <v>12000</v>
      </c>
      <c r="L114" s="40">
        <f t="shared" si="87"/>
        <v>1</v>
      </c>
      <c r="M114" s="28"/>
    </row>
    <row r="115" spans="1:13" ht="24" customHeight="1">
      <c r="A115" s="31" t="s">
        <v>191</v>
      </c>
      <c r="B115" s="25" t="s">
        <v>190</v>
      </c>
      <c r="C115" s="21" t="s">
        <v>23</v>
      </c>
      <c r="D115" s="21">
        <v>1</v>
      </c>
      <c r="E115" s="32">
        <v>28000</v>
      </c>
      <c r="F115" s="32">
        <f t="shared" si="79"/>
        <v>28000</v>
      </c>
      <c r="G115" s="42"/>
      <c r="H115" s="28">
        <v>1</v>
      </c>
      <c r="I115" s="28">
        <v>20000</v>
      </c>
      <c r="J115" s="28">
        <v>10400</v>
      </c>
      <c r="K115" s="28">
        <f t="shared" si="86"/>
        <v>17600</v>
      </c>
      <c r="L115" s="40">
        <f t="shared" si="87"/>
        <v>0.62857142857142856</v>
      </c>
      <c r="M115" s="28"/>
    </row>
    <row r="116" spans="1:13" ht="24" customHeight="1">
      <c r="A116" s="31"/>
      <c r="B116" s="25"/>
      <c r="C116" s="21"/>
      <c r="D116" s="21"/>
      <c r="E116" s="32"/>
      <c r="F116" s="32"/>
      <c r="G116" s="42"/>
      <c r="H116" s="28"/>
      <c r="I116" s="28"/>
      <c r="J116" s="28"/>
      <c r="K116" s="28"/>
      <c r="L116" s="40"/>
      <c r="M116" s="28"/>
    </row>
    <row r="117" spans="1:13" ht="24" customHeight="1">
      <c r="A117" s="31" t="s">
        <v>194</v>
      </c>
      <c r="B117" s="25" t="s">
        <v>193</v>
      </c>
      <c r="C117" s="21"/>
      <c r="D117" s="21"/>
      <c r="E117" s="32"/>
      <c r="F117" s="32"/>
      <c r="G117" s="42"/>
      <c r="H117" s="28"/>
      <c r="I117" s="28"/>
      <c r="J117" s="28"/>
      <c r="K117" s="28"/>
      <c r="L117" s="40"/>
      <c r="M117" s="28"/>
    </row>
    <row r="118" spans="1:13" ht="24" customHeight="1">
      <c r="A118" s="31" t="s">
        <v>195</v>
      </c>
      <c r="B118" s="25" t="s">
        <v>196</v>
      </c>
      <c r="C118" s="21" t="s">
        <v>197</v>
      </c>
      <c r="D118" s="21">
        <v>9</v>
      </c>
      <c r="E118" s="32">
        <v>1200</v>
      </c>
      <c r="F118" s="32">
        <f t="shared" ref="F118:F119" si="88">E118*D118</f>
        <v>10800</v>
      </c>
      <c r="G118" s="42"/>
      <c r="H118" s="28">
        <v>9</v>
      </c>
      <c r="I118" s="28">
        <v>320</v>
      </c>
      <c r="J118" s="28">
        <f t="shared" ref="J118" si="89">I118*H118</f>
        <v>2880</v>
      </c>
      <c r="K118" s="28">
        <f t="shared" ref="K118" si="90">F118-J118</f>
        <v>7920</v>
      </c>
      <c r="L118" s="40">
        <f t="shared" ref="L118" si="91">K118/F118</f>
        <v>0.73333333333333328</v>
      </c>
      <c r="M118" s="28"/>
    </row>
    <row r="119" spans="1:13" ht="24" customHeight="1">
      <c r="A119" s="31" t="s">
        <v>199</v>
      </c>
      <c r="B119" s="25" t="s">
        <v>198</v>
      </c>
      <c r="C119" s="21" t="s">
        <v>23</v>
      </c>
      <c r="D119" s="21">
        <v>1</v>
      </c>
      <c r="E119" s="32">
        <v>32000</v>
      </c>
      <c r="F119" s="32">
        <f t="shared" si="88"/>
        <v>32000</v>
      </c>
      <c r="G119" s="42"/>
      <c r="H119" s="28">
        <v>1</v>
      </c>
      <c r="I119" s="28">
        <v>21500</v>
      </c>
      <c r="J119" s="28">
        <v>21005</v>
      </c>
      <c r="K119" s="28">
        <f t="shared" ref="K119" si="92">F119-J119</f>
        <v>10995</v>
      </c>
      <c r="L119" s="40">
        <f t="shared" ref="L119" si="93">K119/F119</f>
        <v>0.34359374999999998</v>
      </c>
      <c r="M119" s="28"/>
    </row>
    <row r="120" spans="1:13" ht="24" customHeight="1">
      <c r="A120" s="31"/>
      <c r="B120" s="25"/>
      <c r="C120" s="21"/>
      <c r="D120" s="21"/>
      <c r="E120" s="32"/>
      <c r="F120" s="32"/>
      <c r="G120" s="42"/>
      <c r="H120" s="28"/>
      <c r="I120" s="28"/>
      <c r="J120" s="28"/>
      <c r="K120" s="28"/>
      <c r="L120" s="40"/>
      <c r="M120" s="28"/>
    </row>
    <row r="121" spans="1:13" ht="24" customHeight="1">
      <c r="A121" s="31" t="s">
        <v>201</v>
      </c>
      <c r="B121" s="25" t="s">
        <v>200</v>
      </c>
      <c r="C121" s="21"/>
      <c r="D121" s="21"/>
      <c r="E121" s="32"/>
      <c r="F121" s="32"/>
      <c r="G121" s="42"/>
      <c r="H121" s="28"/>
      <c r="I121" s="28"/>
      <c r="J121" s="28"/>
      <c r="K121" s="28"/>
      <c r="L121" s="40"/>
      <c r="M121" s="28"/>
    </row>
    <row r="122" spans="1:13" ht="24" customHeight="1">
      <c r="A122" s="31" t="s">
        <v>203</v>
      </c>
      <c r="B122" s="25" t="s">
        <v>202</v>
      </c>
      <c r="C122" s="21" t="s">
        <v>197</v>
      </c>
      <c r="D122" s="21">
        <v>9</v>
      </c>
      <c r="E122" s="32">
        <v>1300</v>
      </c>
      <c r="F122" s="32">
        <f t="shared" ref="F122:F123" si="94">E122*D122</f>
        <v>11700</v>
      </c>
      <c r="G122" s="42"/>
      <c r="H122" s="28">
        <v>9</v>
      </c>
      <c r="I122" s="28">
        <v>350</v>
      </c>
      <c r="J122" s="28">
        <f t="shared" ref="J122:J124" si="95">I122*H122</f>
        <v>3150</v>
      </c>
      <c r="K122" s="28">
        <f t="shared" ref="K122:K123" si="96">F122-J122</f>
        <v>8550</v>
      </c>
      <c r="L122" s="40">
        <f t="shared" ref="L122:L123" si="97">K122/F122</f>
        <v>0.73076923076923073</v>
      </c>
      <c r="M122" s="28"/>
    </row>
    <row r="123" spans="1:13" ht="24" customHeight="1">
      <c r="A123" s="31" t="s">
        <v>204</v>
      </c>
      <c r="B123" s="25" t="s">
        <v>285</v>
      </c>
      <c r="C123" s="21" t="s">
        <v>23</v>
      </c>
      <c r="D123" s="21">
        <v>1</v>
      </c>
      <c r="E123" s="32">
        <v>35000</v>
      </c>
      <c r="F123" s="32">
        <f t="shared" si="94"/>
        <v>35000</v>
      </c>
      <c r="G123" s="42"/>
      <c r="H123" s="28">
        <v>1</v>
      </c>
      <c r="I123" s="28">
        <v>25000</v>
      </c>
      <c r="J123" s="28">
        <f t="shared" si="95"/>
        <v>25000</v>
      </c>
      <c r="K123" s="28">
        <f t="shared" si="96"/>
        <v>10000</v>
      </c>
      <c r="L123" s="40">
        <f t="shared" si="97"/>
        <v>0.2857142857142857</v>
      </c>
      <c r="M123" s="28"/>
    </row>
    <row r="124" spans="1:13" ht="24" customHeight="1">
      <c r="A124" s="31" t="s">
        <v>287</v>
      </c>
      <c r="B124" s="25" t="s">
        <v>286</v>
      </c>
      <c r="C124" s="21" t="s">
        <v>23</v>
      </c>
      <c r="D124" s="21">
        <v>1</v>
      </c>
      <c r="E124" s="32">
        <v>27900</v>
      </c>
      <c r="F124" s="32">
        <f t="shared" ref="F124" si="98">E124*D124</f>
        <v>27900</v>
      </c>
      <c r="G124" s="42"/>
      <c r="H124" s="28">
        <v>1</v>
      </c>
      <c r="I124" s="28">
        <v>45773</v>
      </c>
      <c r="J124" s="28">
        <f t="shared" si="95"/>
        <v>45773</v>
      </c>
      <c r="K124" s="28">
        <f t="shared" ref="K124" si="99">F124-J124</f>
        <v>-17873</v>
      </c>
      <c r="L124" s="40">
        <f t="shared" ref="L124" si="100">K124/F124</f>
        <v>-0.64060931899641582</v>
      </c>
      <c r="M124" s="28"/>
    </row>
    <row r="125" spans="1:13" ht="24" customHeight="1">
      <c r="A125" s="31"/>
      <c r="B125" s="25"/>
      <c r="C125" s="21"/>
      <c r="D125" s="21"/>
      <c r="E125" s="32"/>
      <c r="F125" s="32"/>
      <c r="G125" s="42"/>
      <c r="H125" s="28"/>
      <c r="I125" s="28"/>
      <c r="J125" s="28"/>
      <c r="K125" s="28"/>
      <c r="L125" s="40"/>
      <c r="M125" s="28"/>
    </row>
    <row r="126" spans="1:13" ht="24" customHeight="1">
      <c r="A126" s="31" t="s">
        <v>206</v>
      </c>
      <c r="B126" s="25" t="s">
        <v>205</v>
      </c>
      <c r="C126" s="21"/>
      <c r="D126" s="21"/>
      <c r="E126" s="32"/>
      <c r="F126" s="32"/>
      <c r="G126" s="42"/>
      <c r="H126" s="28"/>
      <c r="I126" s="28"/>
      <c r="J126" s="28"/>
      <c r="K126" s="28"/>
      <c r="L126" s="40"/>
      <c r="M126" s="28"/>
    </row>
    <row r="127" spans="1:13" ht="24" customHeight="1">
      <c r="A127" s="31" t="s">
        <v>207</v>
      </c>
      <c r="B127" s="25" t="s">
        <v>208</v>
      </c>
      <c r="C127" s="21" t="s">
        <v>197</v>
      </c>
      <c r="D127" s="21">
        <v>16</v>
      </c>
      <c r="E127" s="32">
        <v>800</v>
      </c>
      <c r="F127" s="32">
        <f t="shared" ref="F127:F129" si="101">E127*D127</f>
        <v>12800</v>
      </c>
      <c r="G127" s="42"/>
      <c r="H127" s="28">
        <v>16</v>
      </c>
      <c r="I127" s="28">
        <v>500</v>
      </c>
      <c r="J127" s="28">
        <f t="shared" ref="J127" si="102">I127*H127</f>
        <v>8000</v>
      </c>
      <c r="K127" s="28">
        <f t="shared" ref="K127" si="103">F127-J127</f>
        <v>4800</v>
      </c>
      <c r="L127" s="40">
        <f t="shared" ref="L127" si="104">K127/F127</f>
        <v>0.375</v>
      </c>
      <c r="M127" s="28"/>
    </row>
    <row r="128" spans="1:13" ht="24" customHeight="1">
      <c r="A128" s="31" t="s">
        <v>211</v>
      </c>
      <c r="B128" s="25" t="s">
        <v>209</v>
      </c>
      <c r="C128" s="21" t="s">
        <v>23</v>
      </c>
      <c r="D128" s="21">
        <v>1</v>
      </c>
      <c r="E128" s="32">
        <v>65000</v>
      </c>
      <c r="F128" s="32">
        <f t="shared" si="101"/>
        <v>65000</v>
      </c>
      <c r="G128" s="42"/>
      <c r="H128" s="28">
        <v>1</v>
      </c>
      <c r="I128" s="28">
        <v>52000</v>
      </c>
      <c r="J128" s="28">
        <v>62072</v>
      </c>
      <c r="K128" s="28">
        <f t="shared" ref="K128" si="105">F128-J128</f>
        <v>2928</v>
      </c>
      <c r="L128" s="40">
        <f t="shared" ref="L128" si="106">K128/F128</f>
        <v>4.5046153846153847E-2</v>
      </c>
      <c r="M128" s="28"/>
    </row>
    <row r="129" spans="1:13" ht="24" customHeight="1">
      <c r="A129" s="31" t="s">
        <v>212</v>
      </c>
      <c r="B129" s="25" t="s">
        <v>210</v>
      </c>
      <c r="C129" s="21" t="s">
        <v>23</v>
      </c>
      <c r="D129" s="21">
        <v>1</v>
      </c>
      <c r="E129" s="32">
        <v>11000</v>
      </c>
      <c r="F129" s="32">
        <f t="shared" si="101"/>
        <v>11000</v>
      </c>
      <c r="G129" s="42"/>
      <c r="H129" s="28">
        <v>1</v>
      </c>
      <c r="I129" s="28">
        <v>7000</v>
      </c>
      <c r="J129" s="28">
        <f t="shared" ref="J129" si="107">I129*H129</f>
        <v>7000</v>
      </c>
      <c r="K129" s="28">
        <f t="shared" ref="K129" si="108">F129-J129</f>
        <v>4000</v>
      </c>
      <c r="L129" s="40">
        <f t="shared" ref="L129" si="109">K129/F129</f>
        <v>0.36363636363636365</v>
      </c>
      <c r="M129" s="28"/>
    </row>
    <row r="130" spans="1:13" ht="24" customHeight="1">
      <c r="A130" s="31"/>
      <c r="B130" s="25"/>
      <c r="C130" s="21"/>
      <c r="D130" s="21"/>
      <c r="E130" s="32"/>
      <c r="F130" s="32"/>
      <c r="G130" s="42"/>
      <c r="H130" s="28"/>
      <c r="I130" s="28"/>
      <c r="J130" s="28"/>
      <c r="K130" s="28"/>
      <c r="L130" s="40"/>
      <c r="M130" s="28"/>
    </row>
    <row r="131" spans="1:13" ht="24" customHeight="1">
      <c r="A131" s="31" t="s">
        <v>289</v>
      </c>
      <c r="B131" s="25" t="s">
        <v>290</v>
      </c>
      <c r="C131" s="21"/>
      <c r="D131" s="21"/>
      <c r="E131" s="32"/>
      <c r="F131" s="32"/>
      <c r="G131" s="42"/>
      <c r="H131" s="28"/>
      <c r="I131" s="28"/>
      <c r="J131" s="28"/>
      <c r="K131" s="28"/>
      <c r="L131" s="40"/>
      <c r="M131" s="28"/>
    </row>
    <row r="132" spans="1:13" ht="24" customHeight="1">
      <c r="A132" s="31" t="s">
        <v>291</v>
      </c>
      <c r="B132" s="25" t="s">
        <v>294</v>
      </c>
      <c r="C132" s="21" t="s">
        <v>197</v>
      </c>
      <c r="D132" s="21">
        <v>2</v>
      </c>
      <c r="E132" s="32">
        <v>12000</v>
      </c>
      <c r="F132" s="32">
        <f t="shared" ref="F132:F134" si="110">E132*D132</f>
        <v>24000</v>
      </c>
      <c r="G132" s="42"/>
      <c r="H132" s="28">
        <v>2</v>
      </c>
      <c r="I132" s="28">
        <v>9000</v>
      </c>
      <c r="J132" s="28">
        <f t="shared" ref="J132" si="111">I132*H132</f>
        <v>18000</v>
      </c>
      <c r="K132" s="28">
        <f t="shared" ref="K132" si="112">F132-J132</f>
        <v>6000</v>
      </c>
      <c r="L132" s="40">
        <f t="shared" ref="L132" si="113">K132/F132</f>
        <v>0.25</v>
      </c>
      <c r="M132" s="28"/>
    </row>
    <row r="133" spans="1:13" ht="24" customHeight="1">
      <c r="A133" s="31" t="s">
        <v>292</v>
      </c>
      <c r="B133" s="25" t="s">
        <v>293</v>
      </c>
      <c r="C133" s="21" t="s">
        <v>23</v>
      </c>
      <c r="D133" s="21">
        <v>1</v>
      </c>
      <c r="E133" s="32">
        <v>28000</v>
      </c>
      <c r="F133" s="32">
        <f t="shared" si="110"/>
        <v>28000</v>
      </c>
      <c r="G133" s="42"/>
      <c r="H133" s="28">
        <v>1</v>
      </c>
      <c r="I133" s="28">
        <v>106530</v>
      </c>
      <c r="J133" s="28">
        <f t="shared" ref="J133" si="114">I133*H133</f>
        <v>106530</v>
      </c>
      <c r="K133" s="28">
        <f t="shared" ref="K133" si="115">F133-J133</f>
        <v>-78530</v>
      </c>
      <c r="L133" s="40">
        <f t="shared" ref="L133" si="116">K133/F133</f>
        <v>-2.804642857142857</v>
      </c>
      <c r="M133" s="28"/>
    </row>
    <row r="134" spans="1:13" ht="24" customHeight="1">
      <c r="A134" s="31" t="s">
        <v>295</v>
      </c>
      <c r="B134" s="25" t="s">
        <v>296</v>
      </c>
      <c r="C134" s="21" t="s">
        <v>197</v>
      </c>
      <c r="D134" s="21">
        <v>4</v>
      </c>
      <c r="E134" s="32">
        <v>6500</v>
      </c>
      <c r="F134" s="32">
        <f t="shared" si="110"/>
        <v>26000</v>
      </c>
      <c r="G134" s="42"/>
      <c r="H134" s="28">
        <v>1</v>
      </c>
      <c r="I134" s="28">
        <v>5000</v>
      </c>
      <c r="J134" s="28">
        <f t="shared" ref="J134" si="117">I134*H134</f>
        <v>5000</v>
      </c>
      <c r="K134" s="28">
        <f t="shared" ref="K134" si="118">F134-J134</f>
        <v>21000</v>
      </c>
      <c r="L134" s="40">
        <f t="shared" ref="L134" si="119">K134/F134</f>
        <v>0.80769230769230771</v>
      </c>
      <c r="M134" s="28"/>
    </row>
    <row r="135" spans="1:13" ht="24" customHeight="1">
      <c r="A135" s="36"/>
      <c r="B135" s="29" t="s">
        <v>192</v>
      </c>
      <c r="C135" s="30"/>
      <c r="D135" s="30"/>
      <c r="E135" s="37"/>
      <c r="F135" s="38">
        <f>SUM(F111:F134)</f>
        <v>433850</v>
      </c>
      <c r="G135" s="39"/>
      <c r="H135" s="28"/>
      <c r="I135" s="28"/>
      <c r="J135" s="38">
        <f>SUM(J111:J134)</f>
        <v>380303</v>
      </c>
      <c r="K135" s="28">
        <f t="shared" ref="K135" si="120">F135-J135</f>
        <v>53547</v>
      </c>
      <c r="L135" s="40">
        <f t="shared" ref="L135" si="121">K135/F135</f>
        <v>0.1234228419960816</v>
      </c>
      <c r="M135" s="28"/>
    </row>
    <row r="136" spans="1:13" ht="24" customHeight="1">
      <c r="A136" s="31"/>
      <c r="B136" s="25"/>
      <c r="C136" s="21"/>
      <c r="D136" s="21"/>
      <c r="E136" s="32"/>
      <c r="F136" s="32"/>
      <c r="G136" s="33"/>
      <c r="H136" s="28"/>
      <c r="I136" s="28"/>
      <c r="J136" s="28"/>
      <c r="K136" s="28"/>
      <c r="L136" s="40"/>
      <c r="M136" s="28"/>
    </row>
    <row r="137" spans="1:13" ht="24" customHeight="1">
      <c r="A137" s="31" t="s">
        <v>39</v>
      </c>
      <c r="B137" s="25" t="s">
        <v>25</v>
      </c>
      <c r="C137" s="21"/>
      <c r="D137" s="21"/>
      <c r="E137" s="32"/>
      <c r="F137" s="32"/>
      <c r="G137" s="42"/>
      <c r="H137" s="28"/>
      <c r="I137" s="28"/>
      <c r="J137" s="28"/>
      <c r="K137" s="28"/>
      <c r="L137" s="40"/>
      <c r="M137" s="28"/>
    </row>
    <row r="138" spans="1:13" ht="24" customHeight="1">
      <c r="A138" s="31" t="s">
        <v>222</v>
      </c>
      <c r="B138" s="25" t="s">
        <v>223</v>
      </c>
      <c r="C138" s="21"/>
      <c r="D138" s="21"/>
      <c r="E138" s="32"/>
      <c r="F138" s="32"/>
      <c r="G138" s="42"/>
      <c r="H138" s="28"/>
      <c r="I138" s="28"/>
      <c r="J138" s="28"/>
      <c r="K138" s="28"/>
      <c r="L138" s="40"/>
      <c r="M138" s="28"/>
    </row>
    <row r="139" spans="1:13" ht="24" customHeight="1">
      <c r="A139" s="31" t="s">
        <v>263</v>
      </c>
      <c r="B139" s="26" t="s">
        <v>266</v>
      </c>
      <c r="C139" s="21" t="s">
        <v>102</v>
      </c>
      <c r="D139" s="21">
        <v>3</v>
      </c>
      <c r="E139" s="32">
        <v>45000</v>
      </c>
      <c r="F139" s="32">
        <f t="shared" ref="F139:F151" si="122">E139*D139</f>
        <v>135000</v>
      </c>
      <c r="G139" s="42"/>
      <c r="H139" s="28">
        <v>3</v>
      </c>
      <c r="I139" s="28">
        <v>47300</v>
      </c>
      <c r="J139" s="28">
        <f t="shared" ref="J139:J146" si="123">I139*H139</f>
        <v>141900</v>
      </c>
      <c r="K139" s="28">
        <f t="shared" ref="K139:K146" si="124">F139-J139</f>
        <v>-6900</v>
      </c>
      <c r="L139" s="40">
        <f t="shared" ref="L139:L146" si="125">K139/F139</f>
        <v>-5.1111111111111114E-2</v>
      </c>
      <c r="M139" s="28"/>
    </row>
    <row r="140" spans="1:13" ht="24" customHeight="1">
      <c r="A140" s="31" t="s">
        <v>264</v>
      </c>
      <c r="B140" s="26" t="s">
        <v>262</v>
      </c>
      <c r="C140" s="21" t="s">
        <v>102</v>
      </c>
      <c r="D140" s="21">
        <v>1</v>
      </c>
      <c r="E140" s="32">
        <v>75000</v>
      </c>
      <c r="F140" s="32">
        <f>E140*D140</f>
        <v>75000</v>
      </c>
      <c r="G140" s="42"/>
      <c r="H140" s="28">
        <v>1</v>
      </c>
      <c r="I140" s="28">
        <v>77100</v>
      </c>
      <c r="J140" s="28">
        <f t="shared" si="123"/>
        <v>77100</v>
      </c>
      <c r="K140" s="28">
        <f t="shared" si="124"/>
        <v>-2100</v>
      </c>
      <c r="L140" s="40">
        <f t="shared" si="125"/>
        <v>-2.8000000000000001E-2</v>
      </c>
      <c r="M140" s="28"/>
    </row>
    <row r="141" spans="1:13" ht="24" customHeight="1">
      <c r="A141" s="31" t="s">
        <v>265</v>
      </c>
      <c r="B141" s="26" t="s">
        <v>267</v>
      </c>
      <c r="C141" s="21" t="s">
        <v>96</v>
      </c>
      <c r="D141" s="21">
        <v>1</v>
      </c>
      <c r="E141" s="32">
        <v>85200</v>
      </c>
      <c r="F141" s="32">
        <f t="shared" si="122"/>
        <v>85200</v>
      </c>
      <c r="G141" s="42"/>
      <c r="H141" s="28">
        <v>1</v>
      </c>
      <c r="I141" s="28">
        <v>87800</v>
      </c>
      <c r="J141" s="28">
        <f t="shared" si="123"/>
        <v>87800</v>
      </c>
      <c r="K141" s="28">
        <f t="shared" si="124"/>
        <v>-2600</v>
      </c>
      <c r="L141" s="40">
        <f t="shared" si="125"/>
        <v>-3.0516431924882629E-2</v>
      </c>
      <c r="M141" s="28"/>
    </row>
    <row r="142" spans="1:13" ht="24" customHeight="1">
      <c r="A142" s="31"/>
      <c r="B142" s="26"/>
      <c r="C142" s="21"/>
      <c r="D142" s="21"/>
      <c r="E142" s="32"/>
      <c r="F142" s="32"/>
      <c r="G142" s="42"/>
      <c r="H142" s="28"/>
      <c r="I142" s="28"/>
      <c r="J142" s="28"/>
      <c r="K142" s="28"/>
      <c r="L142" s="40"/>
      <c r="M142" s="28"/>
    </row>
    <row r="143" spans="1:13" ht="24" customHeight="1">
      <c r="A143" s="31" t="s">
        <v>225</v>
      </c>
      <c r="B143" s="25" t="s">
        <v>224</v>
      </c>
      <c r="C143" s="21"/>
      <c r="D143" s="21"/>
      <c r="E143" s="32"/>
      <c r="F143" s="32"/>
      <c r="G143" s="42"/>
      <c r="H143" s="28"/>
      <c r="I143" s="28"/>
      <c r="J143" s="28"/>
      <c r="K143" s="28"/>
      <c r="L143" s="40"/>
      <c r="M143" s="28"/>
    </row>
    <row r="144" spans="1:13" ht="24" customHeight="1">
      <c r="A144" s="31" t="s">
        <v>228</v>
      </c>
      <c r="B144" s="25" t="s">
        <v>268</v>
      </c>
      <c r="C144" s="21" t="s">
        <v>102</v>
      </c>
      <c r="D144" s="21">
        <v>5</v>
      </c>
      <c r="E144" s="73">
        <v>47000</v>
      </c>
      <c r="F144" s="32">
        <f t="shared" si="122"/>
        <v>235000</v>
      </c>
      <c r="G144" s="42"/>
      <c r="H144" s="28">
        <v>1</v>
      </c>
      <c r="I144" s="28"/>
      <c r="J144" s="28">
        <f t="shared" si="123"/>
        <v>0</v>
      </c>
      <c r="K144" s="28">
        <f t="shared" si="124"/>
        <v>235000</v>
      </c>
      <c r="L144" s="40">
        <f t="shared" si="125"/>
        <v>1</v>
      </c>
      <c r="M144" s="28"/>
    </row>
    <row r="145" spans="1:13" ht="24" customHeight="1">
      <c r="A145" s="31" t="s">
        <v>229</v>
      </c>
      <c r="B145" s="25" t="s">
        <v>226</v>
      </c>
      <c r="C145" s="21" t="s">
        <v>234</v>
      </c>
      <c r="D145" s="21">
        <v>5</v>
      </c>
      <c r="E145" s="32">
        <v>35000</v>
      </c>
      <c r="F145" s="32">
        <f t="shared" si="122"/>
        <v>175000</v>
      </c>
      <c r="G145" s="42"/>
      <c r="H145" s="28">
        <v>1</v>
      </c>
      <c r="I145" s="28"/>
      <c r="J145" s="28">
        <f t="shared" si="123"/>
        <v>0</v>
      </c>
      <c r="K145" s="28">
        <f t="shared" si="124"/>
        <v>175000</v>
      </c>
      <c r="L145" s="40">
        <f t="shared" si="125"/>
        <v>1</v>
      </c>
      <c r="M145" s="28"/>
    </row>
    <row r="146" spans="1:13" ht="24" customHeight="1">
      <c r="A146" s="31" t="s">
        <v>230</v>
      </c>
      <c r="B146" s="25" t="s">
        <v>227</v>
      </c>
      <c r="C146" s="21" t="s">
        <v>234</v>
      </c>
      <c r="D146" s="21">
        <v>5</v>
      </c>
      <c r="E146" s="32">
        <v>18000</v>
      </c>
      <c r="F146" s="32">
        <f t="shared" si="122"/>
        <v>90000</v>
      </c>
      <c r="G146" s="42"/>
      <c r="H146" s="28">
        <v>1</v>
      </c>
      <c r="I146" s="28"/>
      <c r="J146" s="28">
        <f t="shared" si="123"/>
        <v>0</v>
      </c>
      <c r="K146" s="28">
        <f t="shared" si="124"/>
        <v>90000</v>
      </c>
      <c r="L146" s="40">
        <f t="shared" si="125"/>
        <v>1</v>
      </c>
      <c r="M146" s="28"/>
    </row>
    <row r="147" spans="1:13" ht="24" customHeight="1">
      <c r="A147" s="31" t="s">
        <v>259</v>
      </c>
      <c r="B147" s="25" t="s">
        <v>257</v>
      </c>
      <c r="C147" s="21" t="s">
        <v>234</v>
      </c>
      <c r="D147" s="21">
        <v>5</v>
      </c>
      <c r="E147" s="32">
        <v>5500</v>
      </c>
      <c r="F147" s="32">
        <f t="shared" si="122"/>
        <v>27500</v>
      </c>
      <c r="G147" s="42"/>
      <c r="H147" s="28">
        <v>5</v>
      </c>
      <c r="J147" s="62">
        <f t="shared" ref="J147:J151" si="126">I147*H147</f>
        <v>0</v>
      </c>
      <c r="K147" s="62">
        <f t="shared" ref="K147:K152" si="127">F147-J147</f>
        <v>27500</v>
      </c>
      <c r="L147" s="63">
        <f t="shared" ref="L147:L152" si="128">K147/F147</f>
        <v>1</v>
      </c>
      <c r="M147" s="28"/>
    </row>
    <row r="148" spans="1:13" ht="24" customHeight="1">
      <c r="A148" s="31" t="s">
        <v>231</v>
      </c>
      <c r="B148" s="25" t="s">
        <v>123</v>
      </c>
      <c r="C148" s="21" t="s">
        <v>52</v>
      </c>
      <c r="D148" s="21">
        <v>1</v>
      </c>
      <c r="E148" s="32">
        <v>28000</v>
      </c>
      <c r="F148" s="32">
        <f t="shared" si="122"/>
        <v>28000</v>
      </c>
      <c r="G148" s="42"/>
      <c r="H148" s="28">
        <v>1</v>
      </c>
      <c r="J148" s="62">
        <f t="shared" si="126"/>
        <v>0</v>
      </c>
      <c r="K148" s="62">
        <f t="shared" si="127"/>
        <v>28000</v>
      </c>
      <c r="L148" s="63">
        <f t="shared" si="128"/>
        <v>1</v>
      </c>
      <c r="M148" s="28"/>
    </row>
    <row r="149" spans="1:13" ht="24" customHeight="1">
      <c r="A149" s="31" t="s">
        <v>232</v>
      </c>
      <c r="B149" s="25" t="s">
        <v>258</v>
      </c>
      <c r="C149" s="21" t="s">
        <v>52</v>
      </c>
      <c r="D149" s="21">
        <v>1</v>
      </c>
      <c r="E149" s="32">
        <v>16000</v>
      </c>
      <c r="F149" s="32">
        <f t="shared" si="122"/>
        <v>16000</v>
      </c>
      <c r="G149" s="42"/>
      <c r="H149" s="28">
        <v>1</v>
      </c>
      <c r="J149" s="62">
        <f t="shared" si="126"/>
        <v>0</v>
      </c>
      <c r="K149" s="62">
        <f t="shared" si="127"/>
        <v>16000</v>
      </c>
      <c r="L149" s="63">
        <f t="shared" si="128"/>
        <v>1</v>
      </c>
      <c r="M149" s="28"/>
    </row>
    <row r="150" spans="1:13" ht="24" customHeight="1">
      <c r="A150" s="31" t="s">
        <v>233</v>
      </c>
      <c r="B150" s="25" t="s">
        <v>282</v>
      </c>
      <c r="C150" s="21" t="s">
        <v>52</v>
      </c>
      <c r="D150" s="21">
        <v>1</v>
      </c>
      <c r="E150" s="32">
        <v>264000</v>
      </c>
      <c r="F150" s="32">
        <f t="shared" si="122"/>
        <v>264000</v>
      </c>
      <c r="G150" s="42"/>
      <c r="H150" s="28">
        <v>1</v>
      </c>
      <c r="J150" s="62">
        <v>150000</v>
      </c>
      <c r="K150" s="62">
        <f t="shared" si="127"/>
        <v>114000</v>
      </c>
      <c r="L150" s="63">
        <f t="shared" si="128"/>
        <v>0.43181818181818182</v>
      </c>
      <c r="M150" s="28"/>
    </row>
    <row r="151" spans="1:13" ht="24" customHeight="1">
      <c r="A151" s="31" t="s">
        <v>260</v>
      </c>
      <c r="B151" s="9" t="s">
        <v>104</v>
      </c>
      <c r="C151" s="21" t="s">
        <v>52</v>
      </c>
      <c r="D151" s="21">
        <v>1</v>
      </c>
      <c r="E151" s="32">
        <v>85000</v>
      </c>
      <c r="F151" s="32">
        <f t="shared" si="122"/>
        <v>85000</v>
      </c>
      <c r="G151" s="42"/>
      <c r="H151" s="28">
        <v>1</v>
      </c>
      <c r="J151" s="62">
        <f t="shared" si="126"/>
        <v>0</v>
      </c>
      <c r="K151" s="62">
        <f t="shared" si="127"/>
        <v>85000</v>
      </c>
      <c r="L151" s="63">
        <f t="shared" si="128"/>
        <v>1</v>
      </c>
      <c r="M151" s="28"/>
    </row>
    <row r="152" spans="1:13" ht="24" customHeight="1">
      <c r="A152" s="36"/>
      <c r="B152" s="29" t="s">
        <v>103</v>
      </c>
      <c r="C152" s="30"/>
      <c r="D152" s="30"/>
      <c r="E152" s="37"/>
      <c r="F152" s="38">
        <f>SUM(F139:F151)</f>
        <v>1215700</v>
      </c>
      <c r="G152" s="74"/>
      <c r="H152" s="28"/>
      <c r="J152" s="62">
        <f>SUM(J139:J151)</f>
        <v>456800</v>
      </c>
      <c r="K152" s="28">
        <f t="shared" si="127"/>
        <v>758900</v>
      </c>
      <c r="L152" s="40">
        <f t="shared" si="128"/>
        <v>0.62424940363576542</v>
      </c>
      <c r="M152" s="28"/>
    </row>
    <row r="153" spans="1:13" ht="24" customHeight="1" thickBot="1">
      <c r="A153" s="75"/>
      <c r="B153" s="76"/>
      <c r="C153" s="77"/>
      <c r="D153" s="77"/>
      <c r="E153" s="78"/>
      <c r="F153" s="78"/>
      <c r="G153" s="79"/>
      <c r="H153" s="28"/>
      <c r="J153" s="28"/>
      <c r="K153" s="28"/>
      <c r="L153" s="40"/>
      <c r="M153" s="28"/>
    </row>
    <row r="154" spans="1:13">
      <c r="H154" s="28"/>
      <c r="J154" s="28"/>
      <c r="K154" s="28"/>
      <c r="L154" s="28"/>
      <c r="M154" s="28"/>
    </row>
    <row r="155" spans="1:13">
      <c r="H155" s="28"/>
      <c r="J155" s="28"/>
      <c r="K155" s="28"/>
      <c r="L155" s="28"/>
      <c r="M155" s="28"/>
    </row>
    <row r="156" spans="1:13">
      <c r="H156" s="28"/>
      <c r="J156" s="28"/>
      <c r="K156" s="28"/>
      <c r="L156" s="28"/>
      <c r="M156" s="28"/>
    </row>
    <row r="157" spans="1:13">
      <c r="H157" s="28"/>
      <c r="J157" s="28"/>
      <c r="K157" s="28"/>
      <c r="L157" s="28"/>
      <c r="M157" s="28"/>
    </row>
  </sheetData>
  <mergeCells count="10">
    <mergeCell ref="C5:E5"/>
    <mergeCell ref="F5:G5"/>
    <mergeCell ref="C6:E6"/>
    <mergeCell ref="F6:G6"/>
    <mergeCell ref="A3:B6"/>
    <mergeCell ref="A2:G2"/>
    <mergeCell ref="C3:E3"/>
    <mergeCell ref="F3:G3"/>
    <mergeCell ref="C4:E4"/>
    <mergeCell ref="F4:G4"/>
  </mergeCells>
  <phoneticPr fontId="8" type="noConversion"/>
  <printOptions horizontalCentered="1"/>
  <pageMargins left="0.59055118110236215" right="0.59055118110236215" top="0.98425196850393704" bottom="0.98425196850393704" header="0.59055118110236215" footer="0.59055118110236215"/>
  <pageSetup paperSize="9" scale="81" fitToHeight="0" orientation="portrait" r:id="rId1"/>
  <headerFooter alignWithMargins="0">
    <oddFooter>&amp;L&amp;F
.&amp;C&amp;P/&amp;N&amp;R&amp;D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F5DA-07BD-4062-9FCF-E644D04F89BE}">
  <dimension ref="A1:Z29"/>
  <sheetViews>
    <sheetView zoomScaleNormal="100" workbookViewId="0">
      <selection activeCell="K20" sqref="K20"/>
    </sheetView>
  </sheetViews>
  <sheetFormatPr defaultRowHeight="16.2"/>
  <cols>
    <col min="1" max="1" width="24" customWidth="1"/>
    <col min="2" max="2" width="8.88671875" customWidth="1"/>
    <col min="4" max="4" width="15.33203125" customWidth="1"/>
    <col min="5" max="5" width="9" customWidth="1"/>
    <col min="11" max="11" width="9" customWidth="1"/>
    <col min="13" max="13" width="10.109375" customWidth="1"/>
    <col min="14" max="14" width="11.44140625" customWidth="1"/>
    <col min="15" max="17" width="10.21875" customWidth="1"/>
    <col min="18" max="18" width="12.5546875" customWidth="1"/>
    <col min="19" max="19" width="12.77734375" customWidth="1"/>
    <col min="20" max="20" width="9.88671875" customWidth="1"/>
    <col min="21" max="21" width="9" customWidth="1"/>
    <col min="23" max="23" width="10.109375" customWidth="1"/>
    <col min="24" max="24" width="12.109375" customWidth="1"/>
    <col min="25" max="25" width="11.33203125" customWidth="1"/>
    <col min="26" max="26" width="17.88671875" customWidth="1"/>
  </cols>
  <sheetData>
    <row r="1" spans="1:26" ht="16.8" thickBot="1">
      <c r="A1" s="103" t="s">
        <v>261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spans="1:26" ht="32.4">
      <c r="A2" s="47"/>
      <c r="B2" s="100" t="s">
        <v>41</v>
      </c>
      <c r="C2" s="102"/>
      <c r="D2" s="49" t="s">
        <v>68</v>
      </c>
      <c r="E2" s="100" t="s">
        <v>89</v>
      </c>
      <c r="F2" s="101"/>
      <c r="G2" s="102"/>
      <c r="H2" s="100" t="s">
        <v>141</v>
      </c>
      <c r="I2" s="101"/>
      <c r="J2" s="102"/>
      <c r="K2" s="100" t="s">
        <v>140</v>
      </c>
      <c r="L2" s="101"/>
      <c r="M2" s="101"/>
      <c r="N2" s="45" t="s">
        <v>45</v>
      </c>
      <c r="O2" s="45" t="s">
        <v>63</v>
      </c>
      <c r="P2" s="100" t="s">
        <v>64</v>
      </c>
      <c r="Q2" s="101"/>
      <c r="R2" s="101"/>
      <c r="S2" s="101"/>
      <c r="T2" s="102"/>
      <c r="U2" s="100" t="s">
        <v>171</v>
      </c>
      <c r="V2" s="101"/>
      <c r="W2" s="101"/>
      <c r="X2" s="43"/>
      <c r="Y2" s="43" t="s">
        <v>65</v>
      </c>
      <c r="Z2" s="43" t="s">
        <v>67</v>
      </c>
    </row>
    <row r="3" spans="1:26" ht="23.4" customHeight="1">
      <c r="A3" s="48" t="s">
        <v>55</v>
      </c>
      <c r="B3" s="22" t="s">
        <v>57</v>
      </c>
      <c r="C3" s="23" t="s">
        <v>40</v>
      </c>
      <c r="D3" s="27" t="s">
        <v>59</v>
      </c>
      <c r="E3" s="22" t="s">
        <v>61</v>
      </c>
      <c r="F3" t="s">
        <v>62</v>
      </c>
      <c r="G3" s="23" t="s">
        <v>58</v>
      </c>
      <c r="H3" s="22"/>
      <c r="J3" s="23"/>
      <c r="K3" s="22" t="s">
        <v>61</v>
      </c>
      <c r="L3" t="s">
        <v>62</v>
      </c>
      <c r="M3" t="s">
        <v>58</v>
      </c>
      <c r="N3" s="22" t="s">
        <v>61</v>
      </c>
      <c r="O3" s="22" t="s">
        <v>58</v>
      </c>
      <c r="P3" s="22" t="s">
        <v>56</v>
      </c>
      <c r="Q3" t="s">
        <v>60</v>
      </c>
      <c r="R3" t="s">
        <v>69</v>
      </c>
      <c r="S3" t="s">
        <v>70</v>
      </c>
      <c r="T3" s="23" t="s">
        <v>71</v>
      </c>
      <c r="U3" s="22" t="s">
        <v>61</v>
      </c>
      <c r="V3" t="s">
        <v>62</v>
      </c>
      <c r="W3" t="s">
        <v>58</v>
      </c>
      <c r="Y3" t="s">
        <v>66</v>
      </c>
    </row>
    <row r="4" spans="1:26">
      <c r="A4" s="56" t="s">
        <v>54</v>
      </c>
      <c r="B4" s="57"/>
      <c r="C4" s="58"/>
      <c r="D4" s="56"/>
      <c r="E4" s="57"/>
      <c r="F4" s="59"/>
      <c r="G4" s="58"/>
      <c r="H4" s="57"/>
      <c r="I4" s="59"/>
      <c r="J4" s="58"/>
      <c r="K4" s="57"/>
      <c r="L4" s="59"/>
      <c r="M4" s="59"/>
      <c r="N4" s="57"/>
      <c r="O4" s="57"/>
      <c r="P4" s="57"/>
      <c r="Q4" s="59"/>
      <c r="R4" s="59"/>
      <c r="S4" s="59"/>
      <c r="T4" s="58"/>
      <c r="U4" s="57"/>
      <c r="V4" s="59"/>
      <c r="W4" s="59"/>
      <c r="X4" s="59"/>
      <c r="Y4" s="59"/>
      <c r="Z4" s="59"/>
    </row>
    <row r="5" spans="1:26">
      <c r="A5" s="27" t="s">
        <v>131</v>
      </c>
      <c r="B5" s="22">
        <v>8.6999999999999993</v>
      </c>
      <c r="C5" s="23">
        <v>1179</v>
      </c>
      <c r="D5" s="27">
        <f>B5</f>
        <v>8.6999999999999993</v>
      </c>
      <c r="E5" s="22">
        <v>783</v>
      </c>
      <c r="F5">
        <v>300</v>
      </c>
      <c r="G5" s="23">
        <f>ROUNDUP(E5*F5/10000,0)</f>
        <v>24</v>
      </c>
      <c r="H5" s="22"/>
      <c r="J5" s="23"/>
      <c r="K5" s="22">
        <f>C5-283</f>
        <v>896</v>
      </c>
      <c r="L5">
        <v>300</v>
      </c>
      <c r="M5" s="23">
        <f t="shared" ref="M5:M12" si="0">ROUNDUP(K5*L5/10000,0)</f>
        <v>27</v>
      </c>
      <c r="N5" s="22">
        <f>C5</f>
        <v>1179</v>
      </c>
      <c r="O5" s="22">
        <f>B5</f>
        <v>8.6999999999999993</v>
      </c>
      <c r="P5" s="22">
        <f>N5</f>
        <v>1179</v>
      </c>
      <c r="Q5">
        <v>10</v>
      </c>
      <c r="R5">
        <f>ROUNDUP(P5*Q5/10000,0)</f>
        <v>2</v>
      </c>
      <c r="S5">
        <f>B5</f>
        <v>8.6999999999999993</v>
      </c>
      <c r="T5" s="23">
        <f>S5+R5</f>
        <v>10.7</v>
      </c>
      <c r="U5" s="22">
        <v>283</v>
      </c>
      <c r="V5">
        <v>370</v>
      </c>
      <c r="W5" s="23">
        <f>ROUNDUP(U5*V5/900,0)</f>
        <v>117</v>
      </c>
    </row>
    <row r="6" spans="1:26">
      <c r="A6" s="27" t="s">
        <v>132</v>
      </c>
      <c r="B6" s="22">
        <v>8.6999999999999993</v>
      </c>
      <c r="C6" s="23">
        <v>1179</v>
      </c>
      <c r="D6" s="27">
        <f t="shared" ref="D6:D12" si="1">B6</f>
        <v>8.6999999999999993</v>
      </c>
      <c r="E6" s="22">
        <v>798</v>
      </c>
      <c r="F6">
        <v>300</v>
      </c>
      <c r="G6" s="23">
        <f t="shared" ref="G6:G12" si="2">ROUNDUP(E6*F6/10000,0)</f>
        <v>24</v>
      </c>
      <c r="H6" s="22"/>
      <c r="J6" s="23"/>
      <c r="K6" s="22">
        <f>C6</f>
        <v>1179</v>
      </c>
      <c r="L6">
        <v>300</v>
      </c>
      <c r="M6" s="23">
        <f t="shared" si="0"/>
        <v>36</v>
      </c>
      <c r="N6" s="22">
        <f t="shared" ref="N6:N12" si="3">C6</f>
        <v>1179</v>
      </c>
      <c r="O6" s="22">
        <f t="shared" ref="O6:O12" si="4">B6</f>
        <v>8.6999999999999993</v>
      </c>
      <c r="P6" s="22">
        <f t="shared" ref="P6:P12" si="5">N6</f>
        <v>1179</v>
      </c>
      <c r="Q6">
        <v>10</v>
      </c>
      <c r="R6">
        <f t="shared" ref="R6:R12" si="6">ROUNDUP(P6*Q6/10000,0)</f>
        <v>2</v>
      </c>
      <c r="S6">
        <f t="shared" ref="S6:S12" si="7">B6</f>
        <v>8.6999999999999993</v>
      </c>
      <c r="T6" s="23">
        <f t="shared" ref="T6:T12" si="8">S6+R6</f>
        <v>10.7</v>
      </c>
      <c r="U6" s="22"/>
      <c r="W6" s="23"/>
    </row>
    <row r="7" spans="1:26">
      <c r="A7" s="27" t="s">
        <v>133</v>
      </c>
      <c r="B7" s="22">
        <v>20.3</v>
      </c>
      <c r="C7" s="23">
        <v>2174</v>
      </c>
      <c r="D7" s="27">
        <f t="shared" si="1"/>
        <v>20.3</v>
      </c>
      <c r="E7" s="22">
        <v>2174</v>
      </c>
      <c r="F7">
        <v>495</v>
      </c>
      <c r="G7" s="23">
        <f t="shared" si="2"/>
        <v>108</v>
      </c>
      <c r="H7" s="22">
        <f>K7</f>
        <v>2174</v>
      </c>
      <c r="I7">
        <v>120</v>
      </c>
      <c r="J7" s="23">
        <f t="shared" ref="J7:J8" si="9">ROUNDUP(H7*I7/10000,0)</f>
        <v>27</v>
      </c>
      <c r="K7" s="22">
        <f>C7</f>
        <v>2174</v>
      </c>
      <c r="L7">
        <v>300</v>
      </c>
      <c r="M7" s="23">
        <f t="shared" si="0"/>
        <v>66</v>
      </c>
      <c r="N7" s="22">
        <f t="shared" si="3"/>
        <v>2174</v>
      </c>
      <c r="O7" s="22">
        <f t="shared" si="4"/>
        <v>20.3</v>
      </c>
      <c r="P7" s="22">
        <f t="shared" si="5"/>
        <v>2174</v>
      </c>
      <c r="Q7">
        <v>10</v>
      </c>
      <c r="R7">
        <f t="shared" si="6"/>
        <v>3</v>
      </c>
      <c r="S7">
        <f t="shared" si="7"/>
        <v>20.3</v>
      </c>
      <c r="T7" s="23">
        <f t="shared" si="8"/>
        <v>23.3</v>
      </c>
      <c r="U7" s="22">
        <v>186</v>
      </c>
      <c r="V7">
        <v>370</v>
      </c>
      <c r="W7" s="23">
        <f t="shared" ref="W7:W11" si="10">ROUNDUP(U7*V7/900,0)</f>
        <v>77</v>
      </c>
    </row>
    <row r="8" spans="1:26">
      <c r="A8" s="27" t="s">
        <v>134</v>
      </c>
      <c r="B8" s="22">
        <v>25.3</v>
      </c>
      <c r="C8" s="23">
        <f>590+1195</f>
        <v>1785</v>
      </c>
      <c r="D8" s="27">
        <f t="shared" si="1"/>
        <v>25.3</v>
      </c>
      <c r="E8" s="22">
        <v>2013</v>
      </c>
      <c r="F8">
        <v>300</v>
      </c>
      <c r="G8" s="23">
        <f t="shared" si="2"/>
        <v>61</v>
      </c>
      <c r="H8" s="22">
        <f>K8</f>
        <v>1320</v>
      </c>
      <c r="I8">
        <v>120</v>
      </c>
      <c r="J8" s="23">
        <f t="shared" si="9"/>
        <v>16</v>
      </c>
      <c r="K8" s="22">
        <f>C8-288-177</f>
        <v>1320</v>
      </c>
      <c r="L8">
        <v>300</v>
      </c>
      <c r="M8" s="23">
        <f t="shared" si="0"/>
        <v>40</v>
      </c>
      <c r="N8" s="22">
        <f t="shared" si="3"/>
        <v>1785</v>
      </c>
      <c r="O8" s="22">
        <f t="shared" si="4"/>
        <v>25.3</v>
      </c>
      <c r="P8" s="22">
        <f t="shared" si="5"/>
        <v>1785</v>
      </c>
      <c r="Q8">
        <v>10</v>
      </c>
      <c r="R8">
        <f t="shared" si="6"/>
        <v>2</v>
      </c>
      <c r="S8">
        <f t="shared" si="7"/>
        <v>25.3</v>
      </c>
      <c r="T8" s="23">
        <f t="shared" si="8"/>
        <v>27.3</v>
      </c>
      <c r="U8" s="22">
        <f>321+177</f>
        <v>498</v>
      </c>
      <c r="V8">
        <v>370</v>
      </c>
      <c r="W8" s="23">
        <f t="shared" si="10"/>
        <v>205</v>
      </c>
    </row>
    <row r="9" spans="1:26">
      <c r="A9" s="27" t="s">
        <v>135</v>
      </c>
      <c r="B9" s="22">
        <v>2.4</v>
      </c>
      <c r="C9" s="23">
        <v>620</v>
      </c>
      <c r="D9" s="27">
        <f t="shared" si="1"/>
        <v>2.4</v>
      </c>
      <c r="E9" s="22">
        <v>1036</v>
      </c>
      <c r="F9">
        <v>300</v>
      </c>
      <c r="G9" s="23">
        <f t="shared" si="2"/>
        <v>32</v>
      </c>
      <c r="H9" s="22"/>
      <c r="J9" s="23"/>
      <c r="K9" s="22">
        <f>C9</f>
        <v>620</v>
      </c>
      <c r="L9">
        <v>300</v>
      </c>
      <c r="M9" s="23">
        <f t="shared" si="0"/>
        <v>19</v>
      </c>
      <c r="N9" s="22">
        <f t="shared" si="3"/>
        <v>620</v>
      </c>
      <c r="O9" s="22">
        <f t="shared" si="4"/>
        <v>2.4</v>
      </c>
      <c r="P9" s="22">
        <f t="shared" si="5"/>
        <v>620</v>
      </c>
      <c r="Q9">
        <v>10</v>
      </c>
      <c r="R9">
        <f t="shared" si="6"/>
        <v>1</v>
      </c>
      <c r="S9">
        <f t="shared" si="7"/>
        <v>2.4</v>
      </c>
      <c r="T9" s="23">
        <f t="shared" si="8"/>
        <v>3.4</v>
      </c>
      <c r="U9" s="22"/>
      <c r="V9">
        <v>370</v>
      </c>
      <c r="W9" s="23">
        <f t="shared" si="10"/>
        <v>0</v>
      </c>
    </row>
    <row r="10" spans="1:26">
      <c r="A10" s="27" t="s">
        <v>136</v>
      </c>
      <c r="B10" s="22">
        <v>21.3</v>
      </c>
      <c r="C10" s="23">
        <v>2715</v>
      </c>
      <c r="D10" s="27">
        <f t="shared" si="1"/>
        <v>21.3</v>
      </c>
      <c r="E10" s="22">
        <f>1033+323</f>
        <v>1356</v>
      </c>
      <c r="F10">
        <v>495</v>
      </c>
      <c r="G10" s="23">
        <f t="shared" si="2"/>
        <v>68</v>
      </c>
      <c r="H10" s="22"/>
      <c r="J10" s="23"/>
      <c r="K10" s="22">
        <f>C10</f>
        <v>2715</v>
      </c>
      <c r="L10">
        <v>300</v>
      </c>
      <c r="M10" s="23">
        <f t="shared" si="0"/>
        <v>82</v>
      </c>
      <c r="N10" s="22">
        <f t="shared" si="3"/>
        <v>2715</v>
      </c>
      <c r="O10" s="22">
        <f t="shared" si="4"/>
        <v>21.3</v>
      </c>
      <c r="P10" s="22">
        <f t="shared" si="5"/>
        <v>2715</v>
      </c>
      <c r="Q10">
        <v>10</v>
      </c>
      <c r="R10">
        <f t="shared" si="6"/>
        <v>3</v>
      </c>
      <c r="S10">
        <f t="shared" si="7"/>
        <v>21.3</v>
      </c>
      <c r="T10" s="23">
        <f t="shared" si="8"/>
        <v>24.3</v>
      </c>
      <c r="U10" s="22"/>
      <c r="V10">
        <v>370</v>
      </c>
      <c r="W10" s="23">
        <f t="shared" si="10"/>
        <v>0</v>
      </c>
    </row>
    <row r="11" spans="1:26">
      <c r="A11" s="27" t="s">
        <v>137</v>
      </c>
      <c r="B11" s="22">
        <v>4.5999999999999996</v>
      </c>
      <c r="C11" s="23">
        <v>892</v>
      </c>
      <c r="D11" s="27">
        <f t="shared" si="1"/>
        <v>4.5999999999999996</v>
      </c>
      <c r="E11" s="22">
        <v>195</v>
      </c>
      <c r="F11">
        <v>300</v>
      </c>
      <c r="G11" s="23">
        <v>8</v>
      </c>
      <c r="H11" s="22"/>
      <c r="J11" s="23"/>
      <c r="K11" s="22">
        <f>C11-131</f>
        <v>761</v>
      </c>
      <c r="L11">
        <v>300</v>
      </c>
      <c r="M11" s="23">
        <f t="shared" si="0"/>
        <v>23</v>
      </c>
      <c r="N11" s="22">
        <f t="shared" si="3"/>
        <v>892</v>
      </c>
      <c r="O11" s="22">
        <f t="shared" si="4"/>
        <v>4.5999999999999996</v>
      </c>
      <c r="P11" s="22">
        <f t="shared" si="5"/>
        <v>892</v>
      </c>
      <c r="Q11">
        <v>10</v>
      </c>
      <c r="R11">
        <f t="shared" si="6"/>
        <v>1</v>
      </c>
      <c r="S11">
        <f t="shared" si="7"/>
        <v>4.5999999999999996</v>
      </c>
      <c r="T11" s="23">
        <f t="shared" si="8"/>
        <v>5.6</v>
      </c>
      <c r="U11" s="22">
        <v>132</v>
      </c>
      <c r="V11">
        <v>370</v>
      </c>
      <c r="W11" s="23">
        <f t="shared" si="10"/>
        <v>55</v>
      </c>
    </row>
    <row r="12" spans="1:26">
      <c r="A12" s="27" t="s">
        <v>138</v>
      </c>
      <c r="B12" s="22">
        <v>19.399999999999999</v>
      </c>
      <c r="C12" s="23">
        <v>1866</v>
      </c>
      <c r="D12" s="27">
        <f t="shared" si="1"/>
        <v>19.399999999999999</v>
      </c>
      <c r="E12" s="22">
        <f>228+ 457</f>
        <v>685</v>
      </c>
      <c r="F12">
        <v>495</v>
      </c>
      <c r="G12" s="23">
        <f t="shared" si="2"/>
        <v>34</v>
      </c>
      <c r="H12" s="22"/>
      <c r="J12" s="23"/>
      <c r="K12" s="22">
        <f>C12-370</f>
        <v>1496</v>
      </c>
      <c r="L12">
        <v>300</v>
      </c>
      <c r="M12" s="23">
        <f t="shared" si="0"/>
        <v>45</v>
      </c>
      <c r="N12" s="22">
        <f t="shared" si="3"/>
        <v>1866</v>
      </c>
      <c r="O12" s="22">
        <f t="shared" si="4"/>
        <v>19.399999999999999</v>
      </c>
      <c r="P12" s="22">
        <f t="shared" si="5"/>
        <v>1866</v>
      </c>
      <c r="Q12">
        <v>10</v>
      </c>
      <c r="R12">
        <f t="shared" si="6"/>
        <v>2</v>
      </c>
      <c r="S12">
        <f t="shared" si="7"/>
        <v>19.399999999999999</v>
      </c>
      <c r="T12" s="23">
        <f t="shared" si="8"/>
        <v>21.4</v>
      </c>
      <c r="U12" s="22"/>
      <c r="W12" s="23"/>
    </row>
    <row r="13" spans="1:26">
      <c r="A13" s="27" t="s">
        <v>142</v>
      </c>
      <c r="B13" s="22"/>
      <c r="C13" s="23"/>
      <c r="D13" s="27"/>
      <c r="E13" s="22"/>
      <c r="G13" s="23"/>
      <c r="H13" s="22"/>
      <c r="J13" s="23"/>
      <c r="K13" s="22"/>
      <c r="N13" s="22"/>
      <c r="O13" s="22"/>
      <c r="P13" s="22"/>
      <c r="U13" s="22"/>
    </row>
    <row r="14" spans="1:26" ht="16.8" thickBot="1">
      <c r="A14" s="54" t="s">
        <v>42</v>
      </c>
      <c r="B14" s="50">
        <f>SUM(B5:B12)</f>
        <v>110.69999999999999</v>
      </c>
      <c r="C14" s="51">
        <f>SUM(C5:C12)</f>
        <v>12410</v>
      </c>
      <c r="D14" s="52">
        <f>SUM(D5:D12)</f>
        <v>110.69999999999999</v>
      </c>
      <c r="E14" s="67"/>
      <c r="F14" s="68"/>
      <c r="G14" s="51">
        <f>SUM(G5:G12)</f>
        <v>359</v>
      </c>
      <c r="H14" s="50"/>
      <c r="I14" s="69"/>
      <c r="J14" s="51">
        <f>SUM(J5:J13)</f>
        <v>43</v>
      </c>
      <c r="K14" s="46"/>
      <c r="L14" s="44"/>
      <c r="M14" s="55">
        <f>SUM(M5:M12)</f>
        <v>338</v>
      </c>
      <c r="N14" s="50">
        <f>SUM(N5:N12)/100</f>
        <v>124.1</v>
      </c>
      <c r="O14" s="50">
        <f>SUM(O5:O12)</f>
        <v>110.69999999999999</v>
      </c>
      <c r="P14" s="53"/>
      <c r="Q14" s="55"/>
      <c r="R14" s="55"/>
      <c r="S14" s="55">
        <f>SUM(S5:S12)</f>
        <v>110.69999999999999</v>
      </c>
      <c r="T14" s="55">
        <f>SUM(T5:T12)</f>
        <v>126.69999999999999</v>
      </c>
      <c r="U14" s="46"/>
      <c r="V14" s="44"/>
      <c r="W14" s="55">
        <f>SUM(W5:W12)</f>
        <v>454</v>
      </c>
      <c r="X14" s="44"/>
      <c r="Y14" s="44"/>
      <c r="Z14" s="44"/>
    </row>
    <row r="16" spans="1:26" ht="16.8" thickBot="1">
      <c r="M16" t="s">
        <v>278</v>
      </c>
    </row>
    <row r="17" spans="1:26" ht="32.4">
      <c r="A17" s="47"/>
      <c r="B17" s="100" t="s">
        <v>41</v>
      </c>
      <c r="C17" s="102"/>
      <c r="D17" s="49" t="s">
        <v>68</v>
      </c>
      <c r="E17" s="100" t="s">
        <v>89</v>
      </c>
      <c r="F17" s="101"/>
      <c r="G17" s="102"/>
      <c r="H17" s="100" t="s">
        <v>141</v>
      </c>
      <c r="I17" s="101"/>
      <c r="J17" s="102"/>
      <c r="K17" s="100" t="s">
        <v>140</v>
      </c>
      <c r="L17" s="101"/>
      <c r="M17" s="101"/>
      <c r="N17" s="45" t="s">
        <v>45</v>
      </c>
      <c r="O17" s="45" t="s">
        <v>63</v>
      </c>
      <c r="P17" s="100" t="s">
        <v>64</v>
      </c>
      <c r="Q17" s="101"/>
      <c r="R17" s="101"/>
      <c r="S17" s="101"/>
      <c r="T17" s="102"/>
      <c r="U17" s="100" t="s">
        <v>171</v>
      </c>
      <c r="V17" s="101"/>
      <c r="W17" s="101"/>
      <c r="X17" s="43"/>
      <c r="Y17" s="43" t="s">
        <v>65</v>
      </c>
      <c r="Z17" s="43" t="s">
        <v>67</v>
      </c>
    </row>
    <row r="18" spans="1:26" ht="23.4" customHeight="1">
      <c r="A18" s="48" t="s">
        <v>55</v>
      </c>
      <c r="B18" s="22" t="s">
        <v>57</v>
      </c>
      <c r="C18" s="23" t="s">
        <v>40</v>
      </c>
      <c r="D18" s="27" t="s">
        <v>59</v>
      </c>
      <c r="E18" s="22" t="s">
        <v>61</v>
      </c>
      <c r="F18" t="s">
        <v>62</v>
      </c>
      <c r="G18" s="23" t="s">
        <v>58</v>
      </c>
      <c r="H18" s="22"/>
      <c r="J18" s="23"/>
      <c r="K18" s="22" t="s">
        <v>61</v>
      </c>
      <c r="L18" t="s">
        <v>62</v>
      </c>
      <c r="M18" t="s">
        <v>58</v>
      </c>
      <c r="N18" s="22" t="s">
        <v>61</v>
      </c>
      <c r="O18" s="22" t="s">
        <v>58</v>
      </c>
      <c r="P18" s="22" t="s">
        <v>56</v>
      </c>
      <c r="Q18" t="s">
        <v>60</v>
      </c>
      <c r="R18" t="s">
        <v>69</v>
      </c>
      <c r="S18" t="s">
        <v>70</v>
      </c>
      <c r="T18" s="23" t="s">
        <v>71</v>
      </c>
      <c r="U18" s="22" t="s">
        <v>61</v>
      </c>
      <c r="V18" t="s">
        <v>62</v>
      </c>
      <c r="W18" t="s">
        <v>58</v>
      </c>
      <c r="Y18" t="s">
        <v>66</v>
      </c>
    </row>
    <row r="19" spans="1:26">
      <c r="A19" s="56" t="s">
        <v>54</v>
      </c>
      <c r="B19" s="57"/>
      <c r="C19" s="58"/>
      <c r="D19" s="56"/>
      <c r="E19" s="57"/>
      <c r="F19" s="59"/>
      <c r="G19" s="58"/>
      <c r="H19" s="57"/>
      <c r="I19" s="59"/>
      <c r="J19" s="58"/>
      <c r="K19" s="57"/>
      <c r="L19" s="59"/>
      <c r="M19" s="59"/>
      <c r="N19" s="57"/>
      <c r="O19" s="57"/>
      <c r="P19" s="57"/>
      <c r="Q19" s="59"/>
      <c r="R19" s="59"/>
      <c r="S19" s="59"/>
      <c r="T19" s="58"/>
      <c r="U19" s="57"/>
      <c r="V19" s="59"/>
      <c r="W19" s="59"/>
      <c r="X19" s="59"/>
      <c r="Y19" s="59"/>
      <c r="Z19" s="59"/>
    </row>
    <row r="20" spans="1:26">
      <c r="A20" s="27" t="s">
        <v>131</v>
      </c>
      <c r="B20" s="22">
        <v>8.6999999999999993</v>
      </c>
      <c r="C20" s="23">
        <v>1179</v>
      </c>
      <c r="D20" s="27">
        <f>B20</f>
        <v>8.6999999999999993</v>
      </c>
      <c r="E20" s="22">
        <v>578</v>
      </c>
      <c r="F20">
        <v>280</v>
      </c>
      <c r="G20" s="23">
        <f>ROUNDUP(E20*F20/10000,0)</f>
        <v>17</v>
      </c>
      <c r="H20" s="22"/>
      <c r="J20" s="23"/>
      <c r="K20" s="22">
        <f>C20-283</f>
        <v>896</v>
      </c>
      <c r="L20">
        <v>370</v>
      </c>
      <c r="M20" s="23">
        <f t="shared" ref="M20:M27" si="11">ROUNDUP(K20*L20/10000,0)</f>
        <v>34</v>
      </c>
      <c r="N20" s="22">
        <f>C20</f>
        <v>1179</v>
      </c>
      <c r="O20" s="22">
        <f>B20</f>
        <v>8.6999999999999993</v>
      </c>
      <c r="P20" s="22">
        <f>N20</f>
        <v>1179</v>
      </c>
      <c r="Q20">
        <v>10</v>
      </c>
      <c r="R20">
        <f>ROUNDUP(P20*Q20/10000,0)</f>
        <v>2</v>
      </c>
      <c r="S20">
        <f>B20</f>
        <v>8.6999999999999993</v>
      </c>
      <c r="T20" s="23">
        <f>S20+R20</f>
        <v>10.7</v>
      </c>
      <c r="U20" s="22">
        <v>283</v>
      </c>
      <c r="V20">
        <v>370</v>
      </c>
      <c r="W20" s="23">
        <f>ROUNDUP(U20*V20/900,0)</f>
        <v>117</v>
      </c>
    </row>
    <row r="21" spans="1:26">
      <c r="A21" s="27" t="s">
        <v>132</v>
      </c>
      <c r="B21" s="22">
        <v>8.6999999999999993</v>
      </c>
      <c r="C21" s="23">
        <v>1179</v>
      </c>
      <c r="D21" s="27">
        <f t="shared" ref="D21:D27" si="12">B21</f>
        <v>8.6999999999999993</v>
      </c>
      <c r="E21" s="22">
        <v>592</v>
      </c>
      <c r="F21">
        <v>280</v>
      </c>
      <c r="G21" s="23">
        <f t="shared" ref="G21:G27" si="13">ROUNDUP(E21*F21/10000,0)</f>
        <v>17</v>
      </c>
      <c r="H21" s="22"/>
      <c r="J21" s="23"/>
      <c r="K21" s="22">
        <f>C21</f>
        <v>1179</v>
      </c>
      <c r="L21">
        <v>370</v>
      </c>
      <c r="M21" s="23">
        <f t="shared" si="11"/>
        <v>44</v>
      </c>
      <c r="N21" s="22">
        <f t="shared" ref="N21:N27" si="14">C21</f>
        <v>1179</v>
      </c>
      <c r="O21" s="22">
        <f t="shared" ref="O21:O27" si="15">B21</f>
        <v>8.6999999999999993</v>
      </c>
      <c r="P21" s="22">
        <f t="shared" ref="P21:P27" si="16">N21</f>
        <v>1179</v>
      </c>
      <c r="Q21">
        <v>10</v>
      </c>
      <c r="R21">
        <f t="shared" ref="R21:R27" si="17">ROUNDUP(P21*Q21/10000,0)</f>
        <v>2</v>
      </c>
      <c r="S21">
        <f t="shared" ref="S21:S27" si="18">B21</f>
        <v>8.6999999999999993</v>
      </c>
      <c r="T21" s="23">
        <f t="shared" ref="T21:T27" si="19">S21+R21</f>
        <v>10.7</v>
      </c>
      <c r="U21" s="22"/>
      <c r="W21" s="23"/>
    </row>
    <row r="22" spans="1:26">
      <c r="A22" s="27" t="s">
        <v>133</v>
      </c>
      <c r="B22" s="22">
        <v>20.3</v>
      </c>
      <c r="C22" s="23">
        <v>2104</v>
      </c>
      <c r="D22" s="27">
        <f t="shared" si="12"/>
        <v>20.3</v>
      </c>
      <c r="E22" s="22">
        <v>2084</v>
      </c>
      <c r="F22">
        <v>495</v>
      </c>
      <c r="G22" s="23">
        <f t="shared" si="13"/>
        <v>104</v>
      </c>
      <c r="H22" s="22">
        <f>K22</f>
        <v>1904</v>
      </c>
      <c r="I22">
        <v>110</v>
      </c>
      <c r="J22" s="23">
        <f t="shared" ref="J22:J23" si="20">ROUNDUP(H22*I22/10000,0)</f>
        <v>21</v>
      </c>
      <c r="K22" s="22">
        <f>C22-200</f>
        <v>1904</v>
      </c>
      <c r="L22">
        <v>370</v>
      </c>
      <c r="M22" s="23">
        <f t="shared" si="11"/>
        <v>71</v>
      </c>
      <c r="N22" s="22">
        <f t="shared" si="14"/>
        <v>2104</v>
      </c>
      <c r="O22" s="22">
        <f t="shared" si="15"/>
        <v>20.3</v>
      </c>
      <c r="P22" s="22">
        <f t="shared" si="16"/>
        <v>2104</v>
      </c>
      <c r="Q22">
        <v>10</v>
      </c>
      <c r="R22">
        <f t="shared" si="17"/>
        <v>3</v>
      </c>
      <c r="S22">
        <f t="shared" si="18"/>
        <v>20.3</v>
      </c>
      <c r="T22" s="23">
        <f t="shared" si="19"/>
        <v>23.3</v>
      </c>
      <c r="U22" s="22">
        <v>186</v>
      </c>
      <c r="V22">
        <v>370</v>
      </c>
      <c r="W22" s="23">
        <f t="shared" ref="W22:W26" si="21">ROUNDUP(U22*V22/900,0)</f>
        <v>77</v>
      </c>
    </row>
    <row r="23" spans="1:26">
      <c r="A23" s="27" t="s">
        <v>134</v>
      </c>
      <c r="B23" s="22">
        <v>25.3</v>
      </c>
      <c r="C23" s="23">
        <v>2183</v>
      </c>
      <c r="D23" s="27">
        <f t="shared" si="12"/>
        <v>25.3</v>
      </c>
      <c r="E23" s="22"/>
      <c r="F23">
        <v>280</v>
      </c>
      <c r="G23" s="23">
        <f t="shared" si="13"/>
        <v>0</v>
      </c>
      <c r="H23" s="22">
        <f>K23</f>
        <v>1718</v>
      </c>
      <c r="I23">
        <v>110</v>
      </c>
      <c r="J23" s="23">
        <f t="shared" si="20"/>
        <v>19</v>
      </c>
      <c r="K23" s="22">
        <f>C23-288-177</f>
        <v>1718</v>
      </c>
      <c r="L23">
        <v>370</v>
      </c>
      <c r="M23" s="23">
        <f t="shared" si="11"/>
        <v>64</v>
      </c>
      <c r="N23" s="22">
        <f t="shared" si="14"/>
        <v>2183</v>
      </c>
      <c r="O23" s="22">
        <f t="shared" si="15"/>
        <v>25.3</v>
      </c>
      <c r="P23" s="22">
        <f t="shared" si="16"/>
        <v>2183</v>
      </c>
      <c r="Q23">
        <v>10</v>
      </c>
      <c r="R23">
        <f t="shared" si="17"/>
        <v>3</v>
      </c>
      <c r="S23">
        <f t="shared" si="18"/>
        <v>25.3</v>
      </c>
      <c r="T23" s="23">
        <f t="shared" si="19"/>
        <v>28.3</v>
      </c>
      <c r="U23" s="22">
        <f>321+177</f>
        <v>498</v>
      </c>
      <c r="V23">
        <v>370</v>
      </c>
      <c r="W23" s="23">
        <f t="shared" si="21"/>
        <v>205</v>
      </c>
    </row>
    <row r="24" spans="1:26">
      <c r="A24" s="27" t="s">
        <v>135</v>
      </c>
      <c r="B24" s="22">
        <v>2.4</v>
      </c>
      <c r="C24" s="23">
        <v>620</v>
      </c>
      <c r="D24" s="27">
        <f t="shared" si="12"/>
        <v>2.4</v>
      </c>
      <c r="E24" s="22">
        <f>546+90</f>
        <v>636</v>
      </c>
      <c r="F24">
        <v>280</v>
      </c>
      <c r="G24" s="23">
        <f t="shared" si="13"/>
        <v>18</v>
      </c>
      <c r="H24" s="22"/>
      <c r="J24" s="23"/>
      <c r="K24" s="22">
        <f>C24</f>
        <v>620</v>
      </c>
      <c r="L24">
        <v>370</v>
      </c>
      <c r="M24" s="23">
        <f t="shared" si="11"/>
        <v>23</v>
      </c>
      <c r="N24" s="22">
        <f t="shared" si="14"/>
        <v>620</v>
      </c>
      <c r="O24" s="22">
        <f t="shared" si="15"/>
        <v>2.4</v>
      </c>
      <c r="P24" s="22">
        <f t="shared" si="16"/>
        <v>620</v>
      </c>
      <c r="Q24">
        <v>10</v>
      </c>
      <c r="R24">
        <f t="shared" si="17"/>
        <v>1</v>
      </c>
      <c r="S24">
        <f t="shared" si="18"/>
        <v>2.4</v>
      </c>
      <c r="T24" s="23">
        <f t="shared" si="19"/>
        <v>3.4</v>
      </c>
      <c r="U24" s="22"/>
      <c r="V24">
        <v>370</v>
      </c>
      <c r="W24" s="23">
        <f t="shared" si="21"/>
        <v>0</v>
      </c>
    </row>
    <row r="25" spans="1:26">
      <c r="A25" s="27" t="s">
        <v>136</v>
      </c>
      <c r="B25" s="22">
        <v>21.3</v>
      </c>
      <c r="C25" s="23">
        <v>2715</v>
      </c>
      <c r="D25" s="27">
        <f t="shared" si="12"/>
        <v>21.3</v>
      </c>
      <c r="E25" s="22">
        <v>1521</v>
      </c>
      <c r="F25">
        <v>280</v>
      </c>
      <c r="G25" s="23">
        <f t="shared" si="13"/>
        <v>43</v>
      </c>
      <c r="H25" s="22"/>
      <c r="J25" s="23"/>
      <c r="K25" s="22">
        <f>C25</f>
        <v>2715</v>
      </c>
      <c r="L25">
        <v>370</v>
      </c>
      <c r="M25" s="23">
        <f t="shared" si="11"/>
        <v>101</v>
      </c>
      <c r="N25" s="22">
        <f t="shared" si="14"/>
        <v>2715</v>
      </c>
      <c r="O25" s="22">
        <f t="shared" si="15"/>
        <v>21.3</v>
      </c>
      <c r="P25" s="22">
        <f t="shared" si="16"/>
        <v>2715</v>
      </c>
      <c r="Q25">
        <v>10</v>
      </c>
      <c r="R25">
        <f t="shared" si="17"/>
        <v>3</v>
      </c>
      <c r="S25">
        <f t="shared" si="18"/>
        <v>21.3</v>
      </c>
      <c r="T25" s="23">
        <f t="shared" si="19"/>
        <v>24.3</v>
      </c>
      <c r="U25" s="22"/>
      <c r="V25">
        <v>370</v>
      </c>
      <c r="W25" s="23">
        <f t="shared" si="21"/>
        <v>0</v>
      </c>
    </row>
    <row r="26" spans="1:26">
      <c r="A26" s="27" t="s">
        <v>137</v>
      </c>
      <c r="B26" s="22">
        <v>4.5999999999999996</v>
      </c>
      <c r="C26" s="23">
        <v>892</v>
      </c>
      <c r="D26" s="27">
        <f t="shared" si="12"/>
        <v>4.5999999999999996</v>
      </c>
      <c r="E26" s="22">
        <v>112</v>
      </c>
      <c r="F26">
        <v>280</v>
      </c>
      <c r="G26" s="23">
        <f t="shared" si="13"/>
        <v>4</v>
      </c>
      <c r="H26" s="22"/>
      <c r="J26" s="23"/>
      <c r="K26" s="22">
        <f>C26-131</f>
        <v>761</v>
      </c>
      <c r="L26">
        <v>370</v>
      </c>
      <c r="M26" s="23">
        <f t="shared" si="11"/>
        <v>29</v>
      </c>
      <c r="N26" s="22">
        <f t="shared" si="14"/>
        <v>892</v>
      </c>
      <c r="O26" s="22">
        <f t="shared" si="15"/>
        <v>4.5999999999999996</v>
      </c>
      <c r="P26" s="22">
        <f t="shared" si="16"/>
        <v>892</v>
      </c>
      <c r="Q26">
        <v>10</v>
      </c>
      <c r="R26">
        <f t="shared" si="17"/>
        <v>1</v>
      </c>
      <c r="S26">
        <f t="shared" si="18"/>
        <v>4.5999999999999996</v>
      </c>
      <c r="T26" s="23">
        <f t="shared" si="19"/>
        <v>5.6</v>
      </c>
      <c r="U26" s="22">
        <v>132</v>
      </c>
      <c r="V26">
        <v>370</v>
      </c>
      <c r="W26" s="23">
        <f t="shared" si="21"/>
        <v>55</v>
      </c>
    </row>
    <row r="27" spans="1:26">
      <c r="A27" s="27" t="s">
        <v>138</v>
      </c>
      <c r="B27" s="22">
        <v>19.399999999999999</v>
      </c>
      <c r="C27" s="23">
        <v>1866</v>
      </c>
      <c r="D27" s="27">
        <f t="shared" si="12"/>
        <v>19.399999999999999</v>
      </c>
      <c r="E27" s="22">
        <v>491</v>
      </c>
      <c r="F27">
        <v>495</v>
      </c>
      <c r="G27" s="23">
        <f t="shared" si="13"/>
        <v>25</v>
      </c>
      <c r="H27" s="22"/>
      <c r="J27" s="23"/>
      <c r="K27" s="22">
        <f>C27-370</f>
        <v>1496</v>
      </c>
      <c r="L27">
        <v>370</v>
      </c>
      <c r="M27" s="23">
        <f t="shared" si="11"/>
        <v>56</v>
      </c>
      <c r="N27" s="22">
        <f t="shared" si="14"/>
        <v>1866</v>
      </c>
      <c r="O27" s="22">
        <f t="shared" si="15"/>
        <v>19.399999999999999</v>
      </c>
      <c r="P27" s="22">
        <f t="shared" si="16"/>
        <v>1866</v>
      </c>
      <c r="Q27">
        <v>10</v>
      </c>
      <c r="R27">
        <f t="shared" si="17"/>
        <v>2</v>
      </c>
      <c r="S27">
        <f t="shared" si="18"/>
        <v>19.399999999999999</v>
      </c>
      <c r="T27" s="23">
        <f t="shared" si="19"/>
        <v>21.4</v>
      </c>
      <c r="U27" s="22"/>
      <c r="W27" s="23"/>
    </row>
    <row r="28" spans="1:26">
      <c r="A28" s="27" t="s">
        <v>142</v>
      </c>
      <c r="B28" s="22"/>
      <c r="C28" s="23"/>
      <c r="D28" s="27"/>
      <c r="E28" s="22"/>
      <c r="G28" s="23"/>
      <c r="H28" s="22">
        <v>1447</v>
      </c>
      <c r="I28">
        <v>110</v>
      </c>
      <c r="J28" s="23">
        <f t="shared" ref="J28" si="22">ROUNDUP(H28*I28/10000,0)</f>
        <v>16</v>
      </c>
      <c r="K28" s="22"/>
      <c r="N28" s="22"/>
      <c r="O28" s="22"/>
      <c r="P28" s="22"/>
      <c r="U28" s="22"/>
    </row>
    <row r="29" spans="1:26" ht="16.8" thickBot="1">
      <c r="A29" s="54" t="s">
        <v>42</v>
      </c>
      <c r="B29" s="50">
        <f>SUM(B20:B27)</f>
        <v>110.69999999999999</v>
      </c>
      <c r="C29" s="51">
        <f>SUM(C20:C27)</f>
        <v>12738</v>
      </c>
      <c r="D29" s="52">
        <f>SUM(D20:D27)</f>
        <v>110.69999999999999</v>
      </c>
      <c r="E29" s="67"/>
      <c r="F29" s="68"/>
      <c r="G29" s="51">
        <f>SUM(G20:G27)</f>
        <v>228</v>
      </c>
      <c r="H29" s="50"/>
      <c r="I29" s="69"/>
      <c r="J29" s="51">
        <f>SUM(J20:J28)</f>
        <v>56</v>
      </c>
      <c r="K29" s="46"/>
      <c r="L29" s="44"/>
      <c r="M29" s="55">
        <f>SUM(M20:M27)</f>
        <v>422</v>
      </c>
      <c r="N29" s="50">
        <f>SUM(N20:N27)/100</f>
        <v>127.38</v>
      </c>
      <c r="O29" s="50">
        <f>SUM(O20:O27)</f>
        <v>110.69999999999999</v>
      </c>
      <c r="P29" s="53"/>
      <c r="Q29" s="55"/>
      <c r="R29" s="55"/>
      <c r="S29" s="55">
        <f>SUM(S20:S27)</f>
        <v>110.69999999999999</v>
      </c>
      <c r="T29" s="55">
        <f>SUM(T20:T27)</f>
        <v>127.69999999999999</v>
      </c>
      <c r="U29" s="46"/>
      <c r="V29" s="44"/>
      <c r="W29" s="55">
        <f>SUM(W20:W27)</f>
        <v>454</v>
      </c>
      <c r="X29" s="44"/>
      <c r="Y29" s="44"/>
      <c r="Z29" s="44"/>
    </row>
  </sheetData>
  <mergeCells count="13">
    <mergeCell ref="H2:J2"/>
    <mergeCell ref="U2:W2"/>
    <mergeCell ref="P2:T2"/>
    <mergeCell ref="A1:Z1"/>
    <mergeCell ref="B2:C2"/>
    <mergeCell ref="E2:G2"/>
    <mergeCell ref="K2:M2"/>
    <mergeCell ref="U17:W17"/>
    <mergeCell ref="B17:C17"/>
    <mergeCell ref="E17:G17"/>
    <mergeCell ref="H17:J17"/>
    <mergeCell ref="K17:M17"/>
    <mergeCell ref="P17:T17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7918-9F20-444F-A7BB-10F80FC00EC6}">
  <sheetPr>
    <tabColor rgb="FFFFC000"/>
    <pageSetUpPr fitToPage="1"/>
  </sheetPr>
  <dimension ref="A1:M64"/>
  <sheetViews>
    <sheetView view="pageBreakPreview" zoomScaleNormal="100" zoomScaleSheetLayoutView="100" workbookViewId="0">
      <selection activeCell="D20" sqref="D20"/>
    </sheetView>
  </sheetViews>
  <sheetFormatPr defaultRowHeight="15.6"/>
  <cols>
    <col min="1" max="1" width="11.44140625" style="18" customWidth="1"/>
    <col min="2" max="2" width="34.109375" style="9" customWidth="1"/>
    <col min="3" max="3" width="6.6640625" style="9" customWidth="1"/>
    <col min="4" max="4" width="9.77734375" style="19" customWidth="1"/>
    <col min="5" max="5" width="13.21875" style="13" customWidth="1"/>
    <col min="6" max="6" width="15.109375" style="13" customWidth="1"/>
    <col min="7" max="7" width="19.88671875" style="9" customWidth="1"/>
    <col min="8" max="8" width="19.44140625" style="9" bestFit="1" customWidth="1"/>
    <col min="9" max="9" width="15.33203125" style="9" customWidth="1"/>
    <col min="10" max="10" width="15.88671875" style="9" bestFit="1" customWidth="1"/>
    <col min="11" max="11" width="17.88671875" style="9" bestFit="1" customWidth="1"/>
    <col min="12" max="12" width="14.44140625" style="9" customWidth="1"/>
    <col min="13" max="13" width="11" style="9" bestFit="1" customWidth="1"/>
    <col min="14" max="14" width="14.33203125" style="9" bestFit="1" customWidth="1"/>
    <col min="15" max="15" width="11" style="9" bestFit="1" customWidth="1"/>
    <col min="16" max="225" width="8.88671875" style="9"/>
    <col min="226" max="226" width="5.6640625" style="9" customWidth="1"/>
    <col min="227" max="227" width="32.77734375" style="9" customWidth="1"/>
    <col min="228" max="229" width="6.6640625" style="9" customWidth="1"/>
    <col min="230" max="231" width="12.6640625" style="9" customWidth="1"/>
    <col min="232" max="232" width="22.33203125" style="9" customWidth="1"/>
    <col min="233" max="233" width="10.33203125" style="9" bestFit="1" customWidth="1"/>
    <col min="234" max="481" width="8.88671875" style="9"/>
    <col min="482" max="482" width="5.6640625" style="9" customWidth="1"/>
    <col min="483" max="483" width="32.77734375" style="9" customWidth="1"/>
    <col min="484" max="485" width="6.6640625" style="9" customWidth="1"/>
    <col min="486" max="487" width="12.6640625" style="9" customWidth="1"/>
    <col min="488" max="488" width="22.33203125" style="9" customWidth="1"/>
    <col min="489" max="489" width="10.33203125" style="9" bestFit="1" customWidth="1"/>
    <col min="490" max="737" width="8.88671875" style="9"/>
    <col min="738" max="738" width="5.6640625" style="9" customWidth="1"/>
    <col min="739" max="739" width="32.77734375" style="9" customWidth="1"/>
    <col min="740" max="741" width="6.6640625" style="9" customWidth="1"/>
    <col min="742" max="743" width="12.6640625" style="9" customWidth="1"/>
    <col min="744" max="744" width="22.33203125" style="9" customWidth="1"/>
    <col min="745" max="745" width="10.33203125" style="9" bestFit="1" customWidth="1"/>
    <col min="746" max="993" width="8.88671875" style="9"/>
    <col min="994" max="994" width="5.6640625" style="9" customWidth="1"/>
    <col min="995" max="995" width="32.77734375" style="9" customWidth="1"/>
    <col min="996" max="997" width="6.6640625" style="9" customWidth="1"/>
    <col min="998" max="999" width="12.6640625" style="9" customWidth="1"/>
    <col min="1000" max="1000" width="22.33203125" style="9" customWidth="1"/>
    <col min="1001" max="1001" width="10.33203125" style="9" bestFit="1" customWidth="1"/>
    <col min="1002" max="1249" width="8.88671875" style="9"/>
    <col min="1250" max="1250" width="5.6640625" style="9" customWidth="1"/>
    <col min="1251" max="1251" width="32.77734375" style="9" customWidth="1"/>
    <col min="1252" max="1253" width="6.6640625" style="9" customWidth="1"/>
    <col min="1254" max="1255" width="12.6640625" style="9" customWidth="1"/>
    <col min="1256" max="1256" width="22.33203125" style="9" customWidth="1"/>
    <col min="1257" max="1257" width="10.33203125" style="9" bestFit="1" customWidth="1"/>
    <col min="1258" max="1505" width="8.88671875" style="9"/>
    <col min="1506" max="1506" width="5.6640625" style="9" customWidth="1"/>
    <col min="1507" max="1507" width="32.77734375" style="9" customWidth="1"/>
    <col min="1508" max="1509" width="6.6640625" style="9" customWidth="1"/>
    <col min="1510" max="1511" width="12.6640625" style="9" customWidth="1"/>
    <col min="1512" max="1512" width="22.33203125" style="9" customWidth="1"/>
    <col min="1513" max="1513" width="10.33203125" style="9" bestFit="1" customWidth="1"/>
    <col min="1514" max="1761" width="8.88671875" style="9"/>
    <col min="1762" max="1762" width="5.6640625" style="9" customWidth="1"/>
    <col min="1763" max="1763" width="32.77734375" style="9" customWidth="1"/>
    <col min="1764" max="1765" width="6.6640625" style="9" customWidth="1"/>
    <col min="1766" max="1767" width="12.6640625" style="9" customWidth="1"/>
    <col min="1768" max="1768" width="22.33203125" style="9" customWidth="1"/>
    <col min="1769" max="1769" width="10.33203125" style="9" bestFit="1" customWidth="1"/>
    <col min="1770" max="2017" width="8.88671875" style="9"/>
    <col min="2018" max="2018" width="5.6640625" style="9" customWidth="1"/>
    <col min="2019" max="2019" width="32.77734375" style="9" customWidth="1"/>
    <col min="2020" max="2021" width="6.6640625" style="9" customWidth="1"/>
    <col min="2022" max="2023" width="12.6640625" style="9" customWidth="1"/>
    <col min="2024" max="2024" width="22.33203125" style="9" customWidth="1"/>
    <col min="2025" max="2025" width="10.33203125" style="9" bestFit="1" customWidth="1"/>
    <col min="2026" max="2273" width="8.88671875" style="9"/>
    <col min="2274" max="2274" width="5.6640625" style="9" customWidth="1"/>
    <col min="2275" max="2275" width="32.77734375" style="9" customWidth="1"/>
    <col min="2276" max="2277" width="6.6640625" style="9" customWidth="1"/>
    <col min="2278" max="2279" width="12.6640625" style="9" customWidth="1"/>
    <col min="2280" max="2280" width="22.33203125" style="9" customWidth="1"/>
    <col min="2281" max="2281" width="10.33203125" style="9" bestFit="1" customWidth="1"/>
    <col min="2282" max="2529" width="8.88671875" style="9"/>
    <col min="2530" max="2530" width="5.6640625" style="9" customWidth="1"/>
    <col min="2531" max="2531" width="32.77734375" style="9" customWidth="1"/>
    <col min="2532" max="2533" width="6.6640625" style="9" customWidth="1"/>
    <col min="2534" max="2535" width="12.6640625" style="9" customWidth="1"/>
    <col min="2536" max="2536" width="22.33203125" style="9" customWidth="1"/>
    <col min="2537" max="2537" width="10.33203125" style="9" bestFit="1" customWidth="1"/>
    <col min="2538" max="2785" width="8.88671875" style="9"/>
    <col min="2786" max="2786" width="5.6640625" style="9" customWidth="1"/>
    <col min="2787" max="2787" width="32.77734375" style="9" customWidth="1"/>
    <col min="2788" max="2789" width="6.6640625" style="9" customWidth="1"/>
    <col min="2790" max="2791" width="12.6640625" style="9" customWidth="1"/>
    <col min="2792" max="2792" width="22.33203125" style="9" customWidth="1"/>
    <col min="2793" max="2793" width="10.33203125" style="9" bestFit="1" customWidth="1"/>
    <col min="2794" max="3041" width="8.88671875" style="9"/>
    <col min="3042" max="3042" width="5.6640625" style="9" customWidth="1"/>
    <col min="3043" max="3043" width="32.77734375" style="9" customWidth="1"/>
    <col min="3044" max="3045" width="6.6640625" style="9" customWidth="1"/>
    <col min="3046" max="3047" width="12.6640625" style="9" customWidth="1"/>
    <col min="3048" max="3048" width="22.33203125" style="9" customWidth="1"/>
    <col min="3049" max="3049" width="10.33203125" style="9" bestFit="1" customWidth="1"/>
    <col min="3050" max="3297" width="8.88671875" style="9"/>
    <col min="3298" max="3298" width="5.6640625" style="9" customWidth="1"/>
    <col min="3299" max="3299" width="32.77734375" style="9" customWidth="1"/>
    <col min="3300" max="3301" width="6.6640625" style="9" customWidth="1"/>
    <col min="3302" max="3303" width="12.6640625" style="9" customWidth="1"/>
    <col min="3304" max="3304" width="22.33203125" style="9" customWidth="1"/>
    <col min="3305" max="3305" width="10.33203125" style="9" bestFit="1" customWidth="1"/>
    <col min="3306" max="3553" width="8.88671875" style="9"/>
    <col min="3554" max="3554" width="5.6640625" style="9" customWidth="1"/>
    <col min="3555" max="3555" width="32.77734375" style="9" customWidth="1"/>
    <col min="3556" max="3557" width="6.6640625" style="9" customWidth="1"/>
    <col min="3558" max="3559" width="12.6640625" style="9" customWidth="1"/>
    <col min="3560" max="3560" width="22.33203125" style="9" customWidth="1"/>
    <col min="3561" max="3561" width="10.33203125" style="9" bestFit="1" customWidth="1"/>
    <col min="3562" max="3809" width="8.88671875" style="9"/>
    <col min="3810" max="3810" width="5.6640625" style="9" customWidth="1"/>
    <col min="3811" max="3811" width="32.77734375" style="9" customWidth="1"/>
    <col min="3812" max="3813" width="6.6640625" style="9" customWidth="1"/>
    <col min="3814" max="3815" width="12.6640625" style="9" customWidth="1"/>
    <col min="3816" max="3816" width="22.33203125" style="9" customWidth="1"/>
    <col min="3817" max="3817" width="10.33203125" style="9" bestFit="1" customWidth="1"/>
    <col min="3818" max="4065" width="8.88671875" style="9"/>
    <col min="4066" max="4066" width="5.6640625" style="9" customWidth="1"/>
    <col min="4067" max="4067" width="32.77734375" style="9" customWidth="1"/>
    <col min="4068" max="4069" width="6.6640625" style="9" customWidth="1"/>
    <col min="4070" max="4071" width="12.6640625" style="9" customWidth="1"/>
    <col min="4072" max="4072" width="22.33203125" style="9" customWidth="1"/>
    <col min="4073" max="4073" width="10.33203125" style="9" bestFit="1" customWidth="1"/>
    <col min="4074" max="4321" width="8.88671875" style="9"/>
    <col min="4322" max="4322" width="5.6640625" style="9" customWidth="1"/>
    <col min="4323" max="4323" width="32.77734375" style="9" customWidth="1"/>
    <col min="4324" max="4325" width="6.6640625" style="9" customWidth="1"/>
    <col min="4326" max="4327" width="12.6640625" style="9" customWidth="1"/>
    <col min="4328" max="4328" width="22.33203125" style="9" customWidth="1"/>
    <col min="4329" max="4329" width="10.33203125" style="9" bestFit="1" customWidth="1"/>
    <col min="4330" max="4577" width="8.88671875" style="9"/>
    <col min="4578" max="4578" width="5.6640625" style="9" customWidth="1"/>
    <col min="4579" max="4579" width="32.77734375" style="9" customWidth="1"/>
    <col min="4580" max="4581" width="6.6640625" style="9" customWidth="1"/>
    <col min="4582" max="4583" width="12.6640625" style="9" customWidth="1"/>
    <col min="4584" max="4584" width="22.33203125" style="9" customWidth="1"/>
    <col min="4585" max="4585" width="10.33203125" style="9" bestFit="1" customWidth="1"/>
    <col min="4586" max="4833" width="8.88671875" style="9"/>
    <col min="4834" max="4834" width="5.6640625" style="9" customWidth="1"/>
    <col min="4835" max="4835" width="32.77734375" style="9" customWidth="1"/>
    <col min="4836" max="4837" width="6.6640625" style="9" customWidth="1"/>
    <col min="4838" max="4839" width="12.6640625" style="9" customWidth="1"/>
    <col min="4840" max="4840" width="22.33203125" style="9" customWidth="1"/>
    <col min="4841" max="4841" width="10.33203125" style="9" bestFit="1" customWidth="1"/>
    <col min="4842" max="5089" width="8.88671875" style="9"/>
    <col min="5090" max="5090" width="5.6640625" style="9" customWidth="1"/>
    <col min="5091" max="5091" width="32.77734375" style="9" customWidth="1"/>
    <col min="5092" max="5093" width="6.6640625" style="9" customWidth="1"/>
    <col min="5094" max="5095" width="12.6640625" style="9" customWidth="1"/>
    <col min="5096" max="5096" width="22.33203125" style="9" customWidth="1"/>
    <col min="5097" max="5097" width="10.33203125" style="9" bestFit="1" customWidth="1"/>
    <col min="5098" max="5345" width="8.88671875" style="9"/>
    <col min="5346" max="5346" width="5.6640625" style="9" customWidth="1"/>
    <col min="5347" max="5347" width="32.77734375" style="9" customWidth="1"/>
    <col min="5348" max="5349" width="6.6640625" style="9" customWidth="1"/>
    <col min="5350" max="5351" width="12.6640625" style="9" customWidth="1"/>
    <col min="5352" max="5352" width="22.33203125" style="9" customWidth="1"/>
    <col min="5353" max="5353" width="10.33203125" style="9" bestFit="1" customWidth="1"/>
    <col min="5354" max="5601" width="8.88671875" style="9"/>
    <col min="5602" max="5602" width="5.6640625" style="9" customWidth="1"/>
    <col min="5603" max="5603" width="32.77734375" style="9" customWidth="1"/>
    <col min="5604" max="5605" width="6.6640625" style="9" customWidth="1"/>
    <col min="5606" max="5607" width="12.6640625" style="9" customWidth="1"/>
    <col min="5608" max="5608" width="22.33203125" style="9" customWidth="1"/>
    <col min="5609" max="5609" width="10.33203125" style="9" bestFit="1" customWidth="1"/>
    <col min="5610" max="5857" width="8.88671875" style="9"/>
    <col min="5858" max="5858" width="5.6640625" style="9" customWidth="1"/>
    <col min="5859" max="5859" width="32.77734375" style="9" customWidth="1"/>
    <col min="5860" max="5861" width="6.6640625" style="9" customWidth="1"/>
    <col min="5862" max="5863" width="12.6640625" style="9" customWidth="1"/>
    <col min="5864" max="5864" width="22.33203125" style="9" customWidth="1"/>
    <col min="5865" max="5865" width="10.33203125" style="9" bestFit="1" customWidth="1"/>
    <col min="5866" max="6113" width="8.88671875" style="9"/>
    <col min="6114" max="6114" width="5.6640625" style="9" customWidth="1"/>
    <col min="6115" max="6115" width="32.77734375" style="9" customWidth="1"/>
    <col min="6116" max="6117" width="6.6640625" style="9" customWidth="1"/>
    <col min="6118" max="6119" width="12.6640625" style="9" customWidth="1"/>
    <col min="6120" max="6120" width="22.33203125" style="9" customWidth="1"/>
    <col min="6121" max="6121" width="10.33203125" style="9" bestFit="1" customWidth="1"/>
    <col min="6122" max="6369" width="8.88671875" style="9"/>
    <col min="6370" max="6370" width="5.6640625" style="9" customWidth="1"/>
    <col min="6371" max="6371" width="32.77734375" style="9" customWidth="1"/>
    <col min="6372" max="6373" width="6.6640625" style="9" customWidth="1"/>
    <col min="6374" max="6375" width="12.6640625" style="9" customWidth="1"/>
    <col min="6376" max="6376" width="22.33203125" style="9" customWidth="1"/>
    <col min="6377" max="6377" width="10.33203125" style="9" bestFit="1" customWidth="1"/>
    <col min="6378" max="6625" width="8.88671875" style="9"/>
    <col min="6626" max="6626" width="5.6640625" style="9" customWidth="1"/>
    <col min="6627" max="6627" width="32.77734375" style="9" customWidth="1"/>
    <col min="6628" max="6629" width="6.6640625" style="9" customWidth="1"/>
    <col min="6630" max="6631" width="12.6640625" style="9" customWidth="1"/>
    <col min="6632" max="6632" width="22.33203125" style="9" customWidth="1"/>
    <col min="6633" max="6633" width="10.33203125" style="9" bestFit="1" customWidth="1"/>
    <col min="6634" max="6881" width="8.88671875" style="9"/>
    <col min="6882" max="6882" width="5.6640625" style="9" customWidth="1"/>
    <col min="6883" max="6883" width="32.77734375" style="9" customWidth="1"/>
    <col min="6884" max="6885" width="6.6640625" style="9" customWidth="1"/>
    <col min="6886" max="6887" width="12.6640625" style="9" customWidth="1"/>
    <col min="6888" max="6888" width="22.33203125" style="9" customWidth="1"/>
    <col min="6889" max="6889" width="10.33203125" style="9" bestFit="1" customWidth="1"/>
    <col min="6890" max="7137" width="8.88671875" style="9"/>
    <col min="7138" max="7138" width="5.6640625" style="9" customWidth="1"/>
    <col min="7139" max="7139" width="32.77734375" style="9" customWidth="1"/>
    <col min="7140" max="7141" width="6.6640625" style="9" customWidth="1"/>
    <col min="7142" max="7143" width="12.6640625" style="9" customWidth="1"/>
    <col min="7144" max="7144" width="22.33203125" style="9" customWidth="1"/>
    <col min="7145" max="7145" width="10.33203125" style="9" bestFit="1" customWidth="1"/>
    <col min="7146" max="7393" width="8.88671875" style="9"/>
    <col min="7394" max="7394" width="5.6640625" style="9" customWidth="1"/>
    <col min="7395" max="7395" width="32.77734375" style="9" customWidth="1"/>
    <col min="7396" max="7397" width="6.6640625" style="9" customWidth="1"/>
    <col min="7398" max="7399" width="12.6640625" style="9" customWidth="1"/>
    <col min="7400" max="7400" width="22.33203125" style="9" customWidth="1"/>
    <col min="7401" max="7401" width="10.33203125" style="9" bestFit="1" customWidth="1"/>
    <col min="7402" max="7649" width="8.88671875" style="9"/>
    <col min="7650" max="7650" width="5.6640625" style="9" customWidth="1"/>
    <col min="7651" max="7651" width="32.77734375" style="9" customWidth="1"/>
    <col min="7652" max="7653" width="6.6640625" style="9" customWidth="1"/>
    <col min="7654" max="7655" width="12.6640625" style="9" customWidth="1"/>
    <col min="7656" max="7656" width="22.33203125" style="9" customWidth="1"/>
    <col min="7657" max="7657" width="10.33203125" style="9" bestFit="1" customWidth="1"/>
    <col min="7658" max="7905" width="8.88671875" style="9"/>
    <col min="7906" max="7906" width="5.6640625" style="9" customWidth="1"/>
    <col min="7907" max="7907" width="32.77734375" style="9" customWidth="1"/>
    <col min="7908" max="7909" width="6.6640625" style="9" customWidth="1"/>
    <col min="7910" max="7911" width="12.6640625" style="9" customWidth="1"/>
    <col min="7912" max="7912" width="22.33203125" style="9" customWidth="1"/>
    <col min="7913" max="7913" width="10.33203125" style="9" bestFit="1" customWidth="1"/>
    <col min="7914" max="8161" width="8.88671875" style="9"/>
    <col min="8162" max="8162" width="5.6640625" style="9" customWidth="1"/>
    <col min="8163" max="8163" width="32.77734375" style="9" customWidth="1"/>
    <col min="8164" max="8165" width="6.6640625" style="9" customWidth="1"/>
    <col min="8166" max="8167" width="12.6640625" style="9" customWidth="1"/>
    <col min="8168" max="8168" width="22.33203125" style="9" customWidth="1"/>
    <col min="8169" max="8169" width="10.33203125" style="9" bestFit="1" customWidth="1"/>
    <col min="8170" max="8417" width="8.88671875" style="9"/>
    <col min="8418" max="8418" width="5.6640625" style="9" customWidth="1"/>
    <col min="8419" max="8419" width="32.77734375" style="9" customWidth="1"/>
    <col min="8420" max="8421" width="6.6640625" style="9" customWidth="1"/>
    <col min="8422" max="8423" width="12.6640625" style="9" customWidth="1"/>
    <col min="8424" max="8424" width="22.33203125" style="9" customWidth="1"/>
    <col min="8425" max="8425" width="10.33203125" style="9" bestFit="1" customWidth="1"/>
    <col min="8426" max="8673" width="8.88671875" style="9"/>
    <col min="8674" max="8674" width="5.6640625" style="9" customWidth="1"/>
    <col min="8675" max="8675" width="32.77734375" style="9" customWidth="1"/>
    <col min="8676" max="8677" width="6.6640625" style="9" customWidth="1"/>
    <col min="8678" max="8679" width="12.6640625" style="9" customWidth="1"/>
    <col min="8680" max="8680" width="22.33203125" style="9" customWidth="1"/>
    <col min="8681" max="8681" width="10.33203125" style="9" bestFit="1" customWidth="1"/>
    <col min="8682" max="8929" width="8.88671875" style="9"/>
    <col min="8930" max="8930" width="5.6640625" style="9" customWidth="1"/>
    <col min="8931" max="8931" width="32.77734375" style="9" customWidth="1"/>
    <col min="8932" max="8933" width="6.6640625" style="9" customWidth="1"/>
    <col min="8934" max="8935" width="12.6640625" style="9" customWidth="1"/>
    <col min="8936" max="8936" width="22.33203125" style="9" customWidth="1"/>
    <col min="8937" max="8937" width="10.33203125" style="9" bestFit="1" customWidth="1"/>
    <col min="8938" max="9185" width="8.88671875" style="9"/>
    <col min="9186" max="9186" width="5.6640625" style="9" customWidth="1"/>
    <col min="9187" max="9187" width="32.77734375" style="9" customWidth="1"/>
    <col min="9188" max="9189" width="6.6640625" style="9" customWidth="1"/>
    <col min="9190" max="9191" width="12.6640625" style="9" customWidth="1"/>
    <col min="9192" max="9192" width="22.33203125" style="9" customWidth="1"/>
    <col min="9193" max="9193" width="10.33203125" style="9" bestFit="1" customWidth="1"/>
    <col min="9194" max="9441" width="8.88671875" style="9"/>
    <col min="9442" max="9442" width="5.6640625" style="9" customWidth="1"/>
    <col min="9443" max="9443" width="32.77734375" style="9" customWidth="1"/>
    <col min="9444" max="9445" width="6.6640625" style="9" customWidth="1"/>
    <col min="9446" max="9447" width="12.6640625" style="9" customWidth="1"/>
    <col min="9448" max="9448" width="22.33203125" style="9" customWidth="1"/>
    <col min="9449" max="9449" width="10.33203125" style="9" bestFit="1" customWidth="1"/>
    <col min="9450" max="9697" width="8.88671875" style="9"/>
    <col min="9698" max="9698" width="5.6640625" style="9" customWidth="1"/>
    <col min="9699" max="9699" width="32.77734375" style="9" customWidth="1"/>
    <col min="9700" max="9701" width="6.6640625" style="9" customWidth="1"/>
    <col min="9702" max="9703" width="12.6640625" style="9" customWidth="1"/>
    <col min="9704" max="9704" width="22.33203125" style="9" customWidth="1"/>
    <col min="9705" max="9705" width="10.33203125" style="9" bestFit="1" customWidth="1"/>
    <col min="9706" max="9953" width="8.88671875" style="9"/>
    <col min="9954" max="9954" width="5.6640625" style="9" customWidth="1"/>
    <col min="9955" max="9955" width="32.77734375" style="9" customWidth="1"/>
    <col min="9956" max="9957" width="6.6640625" style="9" customWidth="1"/>
    <col min="9958" max="9959" width="12.6640625" style="9" customWidth="1"/>
    <col min="9960" max="9960" width="22.33203125" style="9" customWidth="1"/>
    <col min="9961" max="9961" width="10.33203125" style="9" bestFit="1" customWidth="1"/>
    <col min="9962" max="10209" width="8.88671875" style="9"/>
    <col min="10210" max="10210" width="5.6640625" style="9" customWidth="1"/>
    <col min="10211" max="10211" width="32.77734375" style="9" customWidth="1"/>
    <col min="10212" max="10213" width="6.6640625" style="9" customWidth="1"/>
    <col min="10214" max="10215" width="12.6640625" style="9" customWidth="1"/>
    <col min="10216" max="10216" width="22.33203125" style="9" customWidth="1"/>
    <col min="10217" max="10217" width="10.33203125" style="9" bestFit="1" customWidth="1"/>
    <col min="10218" max="10465" width="8.88671875" style="9"/>
    <col min="10466" max="10466" width="5.6640625" style="9" customWidth="1"/>
    <col min="10467" max="10467" width="32.77734375" style="9" customWidth="1"/>
    <col min="10468" max="10469" width="6.6640625" style="9" customWidth="1"/>
    <col min="10470" max="10471" width="12.6640625" style="9" customWidth="1"/>
    <col min="10472" max="10472" width="22.33203125" style="9" customWidth="1"/>
    <col min="10473" max="10473" width="10.33203125" style="9" bestFit="1" customWidth="1"/>
    <col min="10474" max="10721" width="8.88671875" style="9"/>
    <col min="10722" max="10722" width="5.6640625" style="9" customWidth="1"/>
    <col min="10723" max="10723" width="32.77734375" style="9" customWidth="1"/>
    <col min="10724" max="10725" width="6.6640625" style="9" customWidth="1"/>
    <col min="10726" max="10727" width="12.6640625" style="9" customWidth="1"/>
    <col min="10728" max="10728" width="22.33203125" style="9" customWidth="1"/>
    <col min="10729" max="10729" width="10.33203125" style="9" bestFit="1" customWidth="1"/>
    <col min="10730" max="10977" width="8.88671875" style="9"/>
    <col min="10978" max="10978" width="5.6640625" style="9" customWidth="1"/>
    <col min="10979" max="10979" width="32.77734375" style="9" customWidth="1"/>
    <col min="10980" max="10981" width="6.6640625" style="9" customWidth="1"/>
    <col min="10982" max="10983" width="12.6640625" style="9" customWidth="1"/>
    <col min="10984" max="10984" width="22.33203125" style="9" customWidth="1"/>
    <col min="10985" max="10985" width="10.33203125" style="9" bestFit="1" customWidth="1"/>
    <col min="10986" max="11233" width="8.88671875" style="9"/>
    <col min="11234" max="11234" width="5.6640625" style="9" customWidth="1"/>
    <col min="11235" max="11235" width="32.77734375" style="9" customWidth="1"/>
    <col min="11236" max="11237" width="6.6640625" style="9" customWidth="1"/>
    <col min="11238" max="11239" width="12.6640625" style="9" customWidth="1"/>
    <col min="11240" max="11240" width="22.33203125" style="9" customWidth="1"/>
    <col min="11241" max="11241" width="10.33203125" style="9" bestFit="1" customWidth="1"/>
    <col min="11242" max="11489" width="8.88671875" style="9"/>
    <col min="11490" max="11490" width="5.6640625" style="9" customWidth="1"/>
    <col min="11491" max="11491" width="32.77734375" style="9" customWidth="1"/>
    <col min="11492" max="11493" width="6.6640625" style="9" customWidth="1"/>
    <col min="11494" max="11495" width="12.6640625" style="9" customWidth="1"/>
    <col min="11496" max="11496" width="22.33203125" style="9" customWidth="1"/>
    <col min="11497" max="11497" width="10.33203125" style="9" bestFit="1" customWidth="1"/>
    <col min="11498" max="11745" width="8.88671875" style="9"/>
    <col min="11746" max="11746" width="5.6640625" style="9" customWidth="1"/>
    <col min="11747" max="11747" width="32.77734375" style="9" customWidth="1"/>
    <col min="11748" max="11749" width="6.6640625" style="9" customWidth="1"/>
    <col min="11750" max="11751" width="12.6640625" style="9" customWidth="1"/>
    <col min="11752" max="11752" width="22.33203125" style="9" customWidth="1"/>
    <col min="11753" max="11753" width="10.33203125" style="9" bestFit="1" customWidth="1"/>
    <col min="11754" max="12001" width="8.88671875" style="9"/>
    <col min="12002" max="12002" width="5.6640625" style="9" customWidth="1"/>
    <col min="12003" max="12003" width="32.77734375" style="9" customWidth="1"/>
    <col min="12004" max="12005" width="6.6640625" style="9" customWidth="1"/>
    <col min="12006" max="12007" width="12.6640625" style="9" customWidth="1"/>
    <col min="12008" max="12008" width="22.33203125" style="9" customWidth="1"/>
    <col min="12009" max="12009" width="10.33203125" style="9" bestFit="1" customWidth="1"/>
    <col min="12010" max="12257" width="8.88671875" style="9"/>
    <col min="12258" max="12258" width="5.6640625" style="9" customWidth="1"/>
    <col min="12259" max="12259" width="32.77734375" style="9" customWidth="1"/>
    <col min="12260" max="12261" width="6.6640625" style="9" customWidth="1"/>
    <col min="12262" max="12263" width="12.6640625" style="9" customWidth="1"/>
    <col min="12264" max="12264" width="22.33203125" style="9" customWidth="1"/>
    <col min="12265" max="12265" width="10.33203125" style="9" bestFit="1" customWidth="1"/>
    <col min="12266" max="12513" width="8.88671875" style="9"/>
    <col min="12514" max="12514" width="5.6640625" style="9" customWidth="1"/>
    <col min="12515" max="12515" width="32.77734375" style="9" customWidth="1"/>
    <col min="12516" max="12517" width="6.6640625" style="9" customWidth="1"/>
    <col min="12518" max="12519" width="12.6640625" style="9" customWidth="1"/>
    <col min="12520" max="12520" width="22.33203125" style="9" customWidth="1"/>
    <col min="12521" max="12521" width="10.33203125" style="9" bestFit="1" customWidth="1"/>
    <col min="12522" max="12769" width="8.88671875" style="9"/>
    <col min="12770" max="12770" width="5.6640625" style="9" customWidth="1"/>
    <col min="12771" max="12771" width="32.77734375" style="9" customWidth="1"/>
    <col min="12772" max="12773" width="6.6640625" style="9" customWidth="1"/>
    <col min="12774" max="12775" width="12.6640625" style="9" customWidth="1"/>
    <col min="12776" max="12776" width="22.33203125" style="9" customWidth="1"/>
    <col min="12777" max="12777" width="10.33203125" style="9" bestFit="1" customWidth="1"/>
    <col min="12778" max="13025" width="8.88671875" style="9"/>
    <col min="13026" max="13026" width="5.6640625" style="9" customWidth="1"/>
    <col min="13027" max="13027" width="32.77734375" style="9" customWidth="1"/>
    <col min="13028" max="13029" width="6.6640625" style="9" customWidth="1"/>
    <col min="13030" max="13031" width="12.6640625" style="9" customWidth="1"/>
    <col min="13032" max="13032" width="22.33203125" style="9" customWidth="1"/>
    <col min="13033" max="13033" width="10.33203125" style="9" bestFit="1" customWidth="1"/>
    <col min="13034" max="13281" width="8.88671875" style="9"/>
    <col min="13282" max="13282" width="5.6640625" style="9" customWidth="1"/>
    <col min="13283" max="13283" width="32.77734375" style="9" customWidth="1"/>
    <col min="13284" max="13285" width="6.6640625" style="9" customWidth="1"/>
    <col min="13286" max="13287" width="12.6640625" style="9" customWidth="1"/>
    <col min="13288" max="13288" width="22.33203125" style="9" customWidth="1"/>
    <col min="13289" max="13289" width="10.33203125" style="9" bestFit="1" customWidth="1"/>
    <col min="13290" max="13537" width="8.88671875" style="9"/>
    <col min="13538" max="13538" width="5.6640625" style="9" customWidth="1"/>
    <col min="13539" max="13539" width="32.77734375" style="9" customWidth="1"/>
    <col min="13540" max="13541" width="6.6640625" style="9" customWidth="1"/>
    <col min="13542" max="13543" width="12.6640625" style="9" customWidth="1"/>
    <col min="13544" max="13544" width="22.33203125" style="9" customWidth="1"/>
    <col min="13545" max="13545" width="10.33203125" style="9" bestFit="1" customWidth="1"/>
    <col min="13546" max="13793" width="8.88671875" style="9"/>
    <col min="13794" max="13794" width="5.6640625" style="9" customWidth="1"/>
    <col min="13795" max="13795" width="32.77734375" style="9" customWidth="1"/>
    <col min="13796" max="13797" width="6.6640625" style="9" customWidth="1"/>
    <col min="13798" max="13799" width="12.6640625" style="9" customWidth="1"/>
    <col min="13800" max="13800" width="22.33203125" style="9" customWidth="1"/>
    <col min="13801" max="13801" width="10.33203125" style="9" bestFit="1" customWidth="1"/>
    <col min="13802" max="14049" width="8.88671875" style="9"/>
    <col min="14050" max="14050" width="5.6640625" style="9" customWidth="1"/>
    <col min="14051" max="14051" width="32.77734375" style="9" customWidth="1"/>
    <col min="14052" max="14053" width="6.6640625" style="9" customWidth="1"/>
    <col min="14054" max="14055" width="12.6640625" style="9" customWidth="1"/>
    <col min="14056" max="14056" width="22.33203125" style="9" customWidth="1"/>
    <col min="14057" max="14057" width="10.33203125" style="9" bestFit="1" customWidth="1"/>
    <col min="14058" max="14305" width="8.88671875" style="9"/>
    <col min="14306" max="14306" width="5.6640625" style="9" customWidth="1"/>
    <col min="14307" max="14307" width="32.77734375" style="9" customWidth="1"/>
    <col min="14308" max="14309" width="6.6640625" style="9" customWidth="1"/>
    <col min="14310" max="14311" width="12.6640625" style="9" customWidth="1"/>
    <col min="14312" max="14312" width="22.33203125" style="9" customWidth="1"/>
    <col min="14313" max="14313" width="10.33203125" style="9" bestFit="1" customWidth="1"/>
    <col min="14314" max="14561" width="8.88671875" style="9"/>
    <col min="14562" max="14562" width="5.6640625" style="9" customWidth="1"/>
    <col min="14563" max="14563" width="32.77734375" style="9" customWidth="1"/>
    <col min="14564" max="14565" width="6.6640625" style="9" customWidth="1"/>
    <col min="14566" max="14567" width="12.6640625" style="9" customWidth="1"/>
    <col min="14568" max="14568" width="22.33203125" style="9" customWidth="1"/>
    <col min="14569" max="14569" width="10.33203125" style="9" bestFit="1" customWidth="1"/>
    <col min="14570" max="14817" width="8.88671875" style="9"/>
    <col min="14818" max="14818" width="5.6640625" style="9" customWidth="1"/>
    <col min="14819" max="14819" width="32.77734375" style="9" customWidth="1"/>
    <col min="14820" max="14821" width="6.6640625" style="9" customWidth="1"/>
    <col min="14822" max="14823" width="12.6640625" style="9" customWidth="1"/>
    <col min="14824" max="14824" width="22.33203125" style="9" customWidth="1"/>
    <col min="14825" max="14825" width="10.33203125" style="9" bestFit="1" customWidth="1"/>
    <col min="14826" max="15073" width="8.88671875" style="9"/>
    <col min="15074" max="15074" width="5.6640625" style="9" customWidth="1"/>
    <col min="15075" max="15075" width="32.77734375" style="9" customWidth="1"/>
    <col min="15076" max="15077" width="6.6640625" style="9" customWidth="1"/>
    <col min="15078" max="15079" width="12.6640625" style="9" customWidth="1"/>
    <col min="15080" max="15080" width="22.33203125" style="9" customWidth="1"/>
    <col min="15081" max="15081" width="10.33203125" style="9" bestFit="1" customWidth="1"/>
    <col min="15082" max="15329" width="8.88671875" style="9"/>
    <col min="15330" max="15330" width="5.6640625" style="9" customWidth="1"/>
    <col min="15331" max="15331" width="32.77734375" style="9" customWidth="1"/>
    <col min="15332" max="15333" width="6.6640625" style="9" customWidth="1"/>
    <col min="15334" max="15335" width="12.6640625" style="9" customWidth="1"/>
    <col min="15336" max="15336" width="22.33203125" style="9" customWidth="1"/>
    <col min="15337" max="15337" width="10.33203125" style="9" bestFit="1" customWidth="1"/>
    <col min="15338" max="15585" width="8.88671875" style="9"/>
    <col min="15586" max="15586" width="5.6640625" style="9" customWidth="1"/>
    <col min="15587" max="15587" width="32.77734375" style="9" customWidth="1"/>
    <col min="15588" max="15589" width="6.6640625" style="9" customWidth="1"/>
    <col min="15590" max="15591" width="12.6640625" style="9" customWidth="1"/>
    <col min="15592" max="15592" width="22.33203125" style="9" customWidth="1"/>
    <col min="15593" max="15593" width="10.33203125" style="9" bestFit="1" customWidth="1"/>
    <col min="15594" max="15841" width="8.88671875" style="9"/>
    <col min="15842" max="15842" width="5.6640625" style="9" customWidth="1"/>
    <col min="15843" max="15843" width="32.77734375" style="9" customWidth="1"/>
    <col min="15844" max="15845" width="6.6640625" style="9" customWidth="1"/>
    <col min="15846" max="15847" width="12.6640625" style="9" customWidth="1"/>
    <col min="15848" max="15848" width="22.33203125" style="9" customWidth="1"/>
    <col min="15849" max="15849" width="10.33203125" style="9" bestFit="1" customWidth="1"/>
    <col min="15850" max="16097" width="8.88671875" style="9"/>
    <col min="16098" max="16098" width="5.6640625" style="9" customWidth="1"/>
    <col min="16099" max="16099" width="32.77734375" style="9" customWidth="1"/>
    <col min="16100" max="16101" width="6.6640625" style="9" customWidth="1"/>
    <col min="16102" max="16103" width="12.6640625" style="9" customWidth="1"/>
    <col min="16104" max="16104" width="22.33203125" style="9" customWidth="1"/>
    <col min="16105" max="16105" width="10.33203125" style="9" bestFit="1" customWidth="1"/>
    <col min="16106" max="16357" width="8.88671875" style="9"/>
    <col min="16358" max="16384" width="9" style="9" customWidth="1"/>
  </cols>
  <sheetData>
    <row r="1" spans="1:13" s="20" customFormat="1" ht="62.25" customHeight="1">
      <c r="A1" s="2"/>
      <c r="B1" s="1"/>
      <c r="C1" s="1"/>
      <c r="D1" s="1"/>
      <c r="E1" s="1"/>
      <c r="F1" s="1"/>
      <c r="G1" s="3"/>
      <c r="H1" s="60"/>
      <c r="I1" s="60"/>
      <c r="J1" s="60"/>
      <c r="K1" s="60"/>
      <c r="L1" s="60"/>
      <c r="M1" s="60"/>
    </row>
    <row r="2" spans="1:13" s="4" customFormat="1" ht="21" customHeight="1" thickBot="1">
      <c r="A2" s="80" t="s">
        <v>0</v>
      </c>
      <c r="B2" s="81"/>
      <c r="C2" s="81"/>
      <c r="D2" s="81"/>
      <c r="E2" s="81"/>
      <c r="F2" s="81"/>
      <c r="G2" s="82"/>
      <c r="H2" s="61"/>
      <c r="I2" s="61"/>
      <c r="J2" s="61"/>
      <c r="K2" s="61"/>
      <c r="L2" s="61"/>
      <c r="M2" s="61"/>
    </row>
    <row r="3" spans="1:13" s="5" customFormat="1" ht="16.95" customHeight="1">
      <c r="A3" s="94" t="s">
        <v>301</v>
      </c>
      <c r="B3" s="95"/>
      <c r="C3" s="83" t="s">
        <v>15</v>
      </c>
      <c r="D3" s="83"/>
      <c r="E3" s="83"/>
      <c r="F3" s="84" t="s">
        <v>298</v>
      </c>
      <c r="G3" s="85"/>
      <c r="H3" s="28"/>
      <c r="I3" s="28"/>
      <c r="J3" s="28"/>
      <c r="K3" s="28"/>
      <c r="L3" s="28"/>
      <c r="M3" s="28"/>
    </row>
    <row r="4" spans="1:13" s="5" customFormat="1" ht="16.95" customHeight="1">
      <c r="A4" s="96"/>
      <c r="B4" s="97"/>
      <c r="C4" s="86" t="s">
        <v>16</v>
      </c>
      <c r="D4" s="86"/>
      <c r="E4" s="86"/>
      <c r="F4" s="87" t="s">
        <v>297</v>
      </c>
      <c r="G4" s="88"/>
      <c r="H4" s="28"/>
      <c r="I4" s="28"/>
      <c r="J4" s="28"/>
      <c r="K4" s="28"/>
      <c r="L4" s="28"/>
      <c r="M4" s="28"/>
    </row>
    <row r="5" spans="1:13" s="5" customFormat="1" ht="16.95" customHeight="1">
      <c r="A5" s="96"/>
      <c r="B5" s="97"/>
      <c r="C5" s="86" t="s">
        <v>17</v>
      </c>
      <c r="D5" s="86"/>
      <c r="E5" s="86"/>
      <c r="F5" s="89" t="s">
        <v>299</v>
      </c>
      <c r="G5" s="90"/>
      <c r="H5" s="28"/>
      <c r="I5" s="28"/>
      <c r="J5" s="28"/>
      <c r="K5" s="28"/>
      <c r="L5" s="28"/>
      <c r="M5" s="28"/>
    </row>
    <row r="6" spans="1:13" s="5" customFormat="1" ht="16.95" customHeight="1">
      <c r="A6" s="98"/>
      <c r="B6" s="99"/>
      <c r="C6" s="91" t="s">
        <v>18</v>
      </c>
      <c r="D6" s="91"/>
      <c r="E6" s="91"/>
      <c r="F6" s="92" t="s">
        <v>300</v>
      </c>
      <c r="G6" s="93"/>
      <c r="H6" s="28"/>
      <c r="I6" s="28"/>
      <c r="J6" s="28"/>
      <c r="K6" s="28"/>
      <c r="L6" s="28"/>
      <c r="M6" s="28"/>
    </row>
    <row r="7" spans="1:13" ht="18.600000000000001" customHeight="1">
      <c r="A7" s="6" t="s">
        <v>1</v>
      </c>
      <c r="B7" s="7" t="s">
        <v>10</v>
      </c>
      <c r="C7" s="7" t="s">
        <v>2</v>
      </c>
      <c r="D7" s="14" t="s">
        <v>11</v>
      </c>
      <c r="E7" s="8" t="s">
        <v>12</v>
      </c>
      <c r="F7" s="8" t="s">
        <v>13</v>
      </c>
      <c r="G7" s="15" t="s">
        <v>14</v>
      </c>
      <c r="H7" s="28"/>
      <c r="I7" s="28" t="s">
        <v>72</v>
      </c>
      <c r="J7" s="28" t="s">
        <v>73</v>
      </c>
      <c r="K7" s="28" t="s">
        <v>74</v>
      </c>
      <c r="L7" s="40" t="s">
        <v>75</v>
      </c>
      <c r="M7" s="28"/>
    </row>
    <row r="8" spans="1:13" ht="9.75" customHeight="1">
      <c r="A8" s="10" t="s">
        <v>3</v>
      </c>
      <c r="B8" s="11" t="s">
        <v>4</v>
      </c>
      <c r="C8" s="11" t="s">
        <v>5</v>
      </c>
      <c r="D8" s="16" t="s">
        <v>6</v>
      </c>
      <c r="E8" s="12" t="s">
        <v>7</v>
      </c>
      <c r="F8" s="12" t="s">
        <v>8</v>
      </c>
      <c r="G8" s="17" t="s">
        <v>9</v>
      </c>
      <c r="H8" s="28"/>
      <c r="I8" s="28"/>
      <c r="J8" s="28"/>
      <c r="K8" s="28"/>
      <c r="L8" s="40"/>
      <c r="M8" s="28"/>
    </row>
    <row r="9" spans="1:13" ht="24" customHeight="1">
      <c r="A9" s="31" t="s">
        <v>21</v>
      </c>
      <c r="B9" s="25" t="s">
        <v>26</v>
      </c>
      <c r="C9" s="21"/>
      <c r="D9" s="21"/>
      <c r="E9" s="32"/>
      <c r="F9" s="32"/>
      <c r="G9" s="33"/>
      <c r="H9" s="28"/>
      <c r="I9" s="28"/>
      <c r="J9" s="28"/>
      <c r="K9" s="28"/>
      <c r="L9" s="40"/>
      <c r="M9" s="28"/>
    </row>
    <row r="10" spans="1:13" ht="24" customHeight="1">
      <c r="A10" s="31" t="s">
        <v>215</v>
      </c>
      <c r="B10" s="25" t="s">
        <v>98</v>
      </c>
      <c r="C10" s="21" t="s">
        <v>96</v>
      </c>
      <c r="D10" s="21">
        <v>2</v>
      </c>
      <c r="E10" s="32"/>
      <c r="F10" s="32"/>
      <c r="G10" s="65" t="s">
        <v>271</v>
      </c>
      <c r="H10" s="28">
        <v>2</v>
      </c>
      <c r="I10" s="28"/>
      <c r="J10" s="28">
        <f t="shared" ref="J10:J17" si="0">I10*H10</f>
        <v>0</v>
      </c>
      <c r="K10" s="28">
        <f t="shared" ref="K10:K14" si="1">F10-J10</f>
        <v>0</v>
      </c>
      <c r="L10" s="40" t="e">
        <f t="shared" ref="L10:L14" si="2">K10/F10</f>
        <v>#DIV/0!</v>
      </c>
      <c r="M10" s="28"/>
    </row>
    <row r="11" spans="1:13" ht="24" customHeight="1">
      <c r="A11" s="31" t="s">
        <v>216</v>
      </c>
      <c r="B11" s="25" t="s">
        <v>213</v>
      </c>
      <c r="C11" s="21" t="s">
        <v>214</v>
      </c>
      <c r="D11" s="21">
        <v>11</v>
      </c>
      <c r="E11" s="32"/>
      <c r="F11" s="32"/>
      <c r="G11" s="65"/>
      <c r="H11" s="28">
        <v>11</v>
      </c>
      <c r="I11" s="28"/>
      <c r="J11" s="28">
        <f t="shared" si="0"/>
        <v>0</v>
      </c>
      <c r="K11" s="28">
        <f t="shared" si="1"/>
        <v>0</v>
      </c>
      <c r="L11" s="40" t="e">
        <f t="shared" si="2"/>
        <v>#DIV/0!</v>
      </c>
      <c r="M11" s="28"/>
    </row>
    <row r="12" spans="1:13" ht="24" customHeight="1">
      <c r="A12" s="31" t="s">
        <v>217</v>
      </c>
      <c r="B12" s="25" t="s">
        <v>269</v>
      </c>
      <c r="C12" s="21" t="s">
        <v>214</v>
      </c>
      <c r="D12" s="21">
        <v>3</v>
      </c>
      <c r="E12" s="32"/>
      <c r="F12" s="32"/>
      <c r="G12" s="65"/>
      <c r="H12" s="28">
        <v>3</v>
      </c>
      <c r="I12" s="28"/>
      <c r="J12" s="28">
        <f t="shared" si="0"/>
        <v>0</v>
      </c>
      <c r="K12" s="28">
        <f t="shared" si="1"/>
        <v>0</v>
      </c>
      <c r="L12" s="40" t="e">
        <f t="shared" si="2"/>
        <v>#DIV/0!</v>
      </c>
      <c r="M12" s="28"/>
    </row>
    <row r="13" spans="1:13" ht="24" customHeight="1">
      <c r="A13" s="31" t="s">
        <v>218</v>
      </c>
      <c r="B13" s="25" t="s">
        <v>124</v>
      </c>
      <c r="C13" s="21" t="s">
        <v>101</v>
      </c>
      <c r="D13" s="21">
        <v>36</v>
      </c>
      <c r="E13" s="32"/>
      <c r="F13" s="32"/>
      <c r="G13" s="65" t="s">
        <v>272</v>
      </c>
      <c r="H13" s="28">
        <v>36</v>
      </c>
      <c r="I13" s="28"/>
      <c r="J13" s="28">
        <f t="shared" si="0"/>
        <v>0</v>
      </c>
      <c r="K13" s="28">
        <f t="shared" si="1"/>
        <v>0</v>
      </c>
      <c r="L13" s="40" t="e">
        <f t="shared" si="2"/>
        <v>#DIV/0!</v>
      </c>
      <c r="M13" s="28"/>
    </row>
    <row r="14" spans="1:13" ht="24" customHeight="1">
      <c r="A14" s="31" t="s">
        <v>219</v>
      </c>
      <c r="B14" s="25" t="s">
        <v>99</v>
      </c>
      <c r="C14" s="21" t="s">
        <v>101</v>
      </c>
      <c r="D14" s="21">
        <v>5</v>
      </c>
      <c r="E14" s="32"/>
      <c r="F14" s="32"/>
      <c r="G14" s="65" t="s">
        <v>272</v>
      </c>
      <c r="H14" s="28">
        <v>3</v>
      </c>
      <c r="I14" s="28"/>
      <c r="J14" s="28">
        <f t="shared" si="0"/>
        <v>0</v>
      </c>
      <c r="K14" s="28">
        <f t="shared" si="1"/>
        <v>0</v>
      </c>
      <c r="L14" s="40" t="e">
        <f t="shared" si="2"/>
        <v>#DIV/0!</v>
      </c>
      <c r="M14" s="28"/>
    </row>
    <row r="15" spans="1:13" ht="24" customHeight="1">
      <c r="A15" s="31" t="s">
        <v>220</v>
      </c>
      <c r="B15" s="25" t="s">
        <v>276</v>
      </c>
      <c r="C15" s="21" t="s">
        <v>52</v>
      </c>
      <c r="D15" s="21">
        <v>1</v>
      </c>
      <c r="E15" s="32"/>
      <c r="F15" s="32"/>
      <c r="G15" s="65"/>
      <c r="H15" s="28">
        <v>1</v>
      </c>
      <c r="I15" s="28"/>
      <c r="J15" s="28">
        <f t="shared" si="0"/>
        <v>0</v>
      </c>
      <c r="K15" s="28">
        <f>F16-J15</f>
        <v>0</v>
      </c>
      <c r="L15" s="40" t="e">
        <f>K15/F16</f>
        <v>#DIV/0!</v>
      </c>
      <c r="M15" s="28"/>
    </row>
    <row r="16" spans="1:13" ht="24" customHeight="1">
      <c r="A16" s="31" t="s">
        <v>221</v>
      </c>
      <c r="B16" s="25" t="s">
        <v>180</v>
      </c>
      <c r="C16" s="21" t="s">
        <v>52</v>
      </c>
      <c r="D16" s="21">
        <v>1</v>
      </c>
      <c r="E16" s="32"/>
      <c r="F16" s="32"/>
      <c r="G16" s="42"/>
      <c r="H16" s="28">
        <v>1</v>
      </c>
      <c r="I16" s="28"/>
      <c r="J16" s="28">
        <f t="shared" si="0"/>
        <v>0</v>
      </c>
      <c r="K16" s="28">
        <f>F17-J16</f>
        <v>0</v>
      </c>
      <c r="L16" s="40" t="e">
        <f>K16/F17</f>
        <v>#DIV/0!</v>
      </c>
      <c r="M16" s="28"/>
    </row>
    <row r="17" spans="1:13" ht="24" customHeight="1">
      <c r="A17" s="31" t="s">
        <v>270</v>
      </c>
      <c r="B17" s="25" t="s">
        <v>100</v>
      </c>
      <c r="C17" s="21" t="s">
        <v>52</v>
      </c>
      <c r="D17" s="21">
        <v>1</v>
      </c>
      <c r="E17" s="32"/>
      <c r="F17" s="32"/>
      <c r="G17" s="42"/>
      <c r="H17" s="28">
        <v>1</v>
      </c>
      <c r="I17" s="28"/>
      <c r="J17" s="28">
        <f t="shared" si="0"/>
        <v>0</v>
      </c>
      <c r="K17" s="28">
        <f>F18-J17</f>
        <v>0</v>
      </c>
      <c r="L17" s="40" t="e">
        <f>K17/F18</f>
        <v>#DIV/0!</v>
      </c>
      <c r="M17" s="28"/>
    </row>
    <row r="18" spans="1:13" ht="24" customHeight="1">
      <c r="A18" s="31" t="s">
        <v>273</v>
      </c>
      <c r="B18" s="25" t="s">
        <v>179</v>
      </c>
      <c r="C18" s="21" t="s">
        <v>52</v>
      </c>
      <c r="D18" s="21">
        <v>1</v>
      </c>
      <c r="E18" s="32"/>
      <c r="F18" s="32"/>
      <c r="G18" s="42"/>
      <c r="H18" s="28"/>
      <c r="I18" s="28"/>
      <c r="J18" s="28"/>
      <c r="K18" s="28"/>
      <c r="L18" s="40"/>
      <c r="M18" s="28"/>
    </row>
    <row r="19" spans="1:13" ht="24" customHeight="1">
      <c r="A19" s="31" t="s">
        <v>277</v>
      </c>
      <c r="B19" s="25" t="s">
        <v>274</v>
      </c>
      <c r="C19" s="21" t="s">
        <v>159</v>
      </c>
      <c r="D19" s="21">
        <v>1</v>
      </c>
      <c r="E19" s="32"/>
      <c r="F19" s="32"/>
      <c r="G19" s="65" t="s">
        <v>275</v>
      </c>
      <c r="H19" s="28"/>
      <c r="I19" s="28"/>
      <c r="J19" s="28"/>
      <c r="K19" s="28"/>
      <c r="L19" s="40"/>
      <c r="M19" s="28"/>
    </row>
    <row r="20" spans="1:13" ht="24" customHeight="1">
      <c r="A20" s="31"/>
      <c r="B20" s="25"/>
      <c r="C20" s="21"/>
      <c r="D20" s="21"/>
      <c r="E20" s="32"/>
      <c r="F20" s="32"/>
      <c r="G20" s="42"/>
      <c r="H20" s="28"/>
      <c r="I20" s="28"/>
      <c r="J20" s="28"/>
      <c r="K20" s="28"/>
      <c r="L20" s="40"/>
      <c r="M20" s="28"/>
    </row>
    <row r="21" spans="1:13" ht="24" customHeight="1">
      <c r="A21" s="31"/>
      <c r="B21" s="25"/>
      <c r="C21" s="21"/>
      <c r="D21" s="21"/>
      <c r="E21" s="32"/>
      <c r="F21" s="32"/>
      <c r="G21" s="42"/>
      <c r="H21" s="28"/>
      <c r="I21" s="28"/>
      <c r="J21" s="28"/>
      <c r="K21" s="28"/>
      <c r="L21" s="40"/>
      <c r="M21" s="28"/>
    </row>
    <row r="22" spans="1:13" ht="24" customHeight="1">
      <c r="A22" s="31"/>
      <c r="B22" s="25"/>
      <c r="C22" s="21"/>
      <c r="D22" s="21"/>
      <c r="E22" s="32"/>
      <c r="F22" s="32"/>
      <c r="G22" s="42"/>
      <c r="H22" s="28"/>
      <c r="I22" s="28"/>
      <c r="J22" s="28"/>
      <c r="K22" s="28"/>
      <c r="L22" s="40"/>
      <c r="M22" s="28"/>
    </row>
    <row r="23" spans="1:13" ht="24" customHeight="1">
      <c r="A23" s="31"/>
      <c r="B23" s="25"/>
      <c r="C23" s="21"/>
      <c r="D23" s="21"/>
      <c r="E23" s="32"/>
      <c r="F23" s="32"/>
      <c r="G23" s="42"/>
      <c r="H23" s="28"/>
      <c r="I23" s="28"/>
      <c r="J23" s="28"/>
      <c r="K23" s="28"/>
      <c r="L23" s="40"/>
      <c r="M23" s="28"/>
    </row>
    <row r="24" spans="1:13" ht="24" customHeight="1">
      <c r="A24" s="31"/>
      <c r="B24" s="25"/>
      <c r="C24" s="21"/>
      <c r="D24" s="21"/>
      <c r="E24" s="32"/>
      <c r="F24" s="32"/>
      <c r="G24" s="42"/>
      <c r="H24" s="28"/>
      <c r="I24" s="28"/>
      <c r="J24" s="28"/>
      <c r="K24" s="28"/>
      <c r="L24" s="40"/>
      <c r="M24" s="28"/>
    </row>
    <row r="25" spans="1:13" ht="24" customHeight="1">
      <c r="A25" s="31"/>
      <c r="B25" s="25"/>
      <c r="C25" s="21"/>
      <c r="D25" s="21"/>
      <c r="E25" s="32"/>
      <c r="F25" s="32"/>
      <c r="G25" s="42"/>
      <c r="H25" s="28"/>
      <c r="I25" s="28"/>
      <c r="J25" s="28"/>
      <c r="K25" s="28"/>
      <c r="L25" s="40"/>
      <c r="M25" s="28"/>
    </row>
    <row r="26" spans="1:13" ht="24" customHeight="1">
      <c r="A26" s="31"/>
      <c r="B26" s="25"/>
      <c r="C26" s="21"/>
      <c r="D26" s="21"/>
      <c r="E26" s="32"/>
      <c r="F26" s="32"/>
      <c r="G26" s="42"/>
      <c r="H26" s="28"/>
      <c r="I26" s="28"/>
      <c r="J26" s="28"/>
      <c r="K26" s="28"/>
      <c r="L26" s="40"/>
      <c r="M26" s="28"/>
    </row>
    <row r="27" spans="1:13" ht="24" customHeight="1">
      <c r="A27" s="31"/>
      <c r="B27" s="25"/>
      <c r="C27" s="21"/>
      <c r="D27" s="21"/>
      <c r="E27" s="32"/>
      <c r="F27" s="32"/>
      <c r="G27" s="42"/>
      <c r="H27" s="28"/>
      <c r="I27" s="28"/>
      <c r="J27" s="28"/>
      <c r="K27" s="28"/>
      <c r="L27" s="40"/>
      <c r="M27" s="28"/>
    </row>
    <row r="28" spans="1:13" ht="24" customHeight="1">
      <c r="A28" s="31"/>
      <c r="B28" s="25"/>
      <c r="C28" s="21"/>
      <c r="D28" s="21"/>
      <c r="E28" s="32"/>
      <c r="F28" s="32"/>
      <c r="G28" s="42"/>
      <c r="H28" s="28"/>
      <c r="I28" s="28"/>
      <c r="J28" s="28"/>
      <c r="K28" s="28"/>
      <c r="L28" s="40"/>
      <c r="M28" s="28"/>
    </row>
    <row r="29" spans="1:13" ht="24" customHeight="1">
      <c r="A29" s="31"/>
      <c r="B29" s="25"/>
      <c r="C29" s="21"/>
      <c r="D29" s="21"/>
      <c r="E29" s="32"/>
      <c r="F29" s="32"/>
      <c r="G29" s="42"/>
      <c r="H29" s="28"/>
      <c r="I29" s="28"/>
      <c r="J29" s="28"/>
      <c r="K29" s="28"/>
      <c r="L29" s="40"/>
      <c r="M29" s="28"/>
    </row>
    <row r="30" spans="1:13" ht="24" customHeight="1">
      <c r="A30" s="31"/>
      <c r="B30" s="25"/>
      <c r="C30" s="21"/>
      <c r="D30" s="21"/>
      <c r="E30" s="32"/>
      <c r="F30" s="32"/>
      <c r="G30" s="42"/>
      <c r="H30" s="28"/>
      <c r="I30" s="28"/>
      <c r="J30" s="28"/>
      <c r="K30" s="28"/>
      <c r="L30" s="40"/>
      <c r="M30" s="28"/>
    </row>
    <row r="31" spans="1:13" ht="24" customHeight="1">
      <c r="A31" s="31"/>
      <c r="B31" s="25"/>
      <c r="C31" s="21"/>
      <c r="D31" s="21"/>
      <c r="E31" s="32"/>
      <c r="F31" s="32"/>
      <c r="G31" s="42"/>
      <c r="H31" s="28"/>
      <c r="I31" s="28"/>
      <c r="J31" s="28"/>
      <c r="K31" s="28"/>
      <c r="L31" s="40"/>
      <c r="M31" s="28"/>
    </row>
    <row r="32" spans="1:13" ht="24" customHeight="1">
      <c r="A32" s="31"/>
      <c r="B32" s="25"/>
      <c r="C32" s="21"/>
      <c r="D32" s="21"/>
      <c r="E32" s="32"/>
      <c r="F32" s="32"/>
      <c r="G32" s="42"/>
      <c r="H32" s="28"/>
      <c r="I32" s="28"/>
      <c r="J32" s="28"/>
      <c r="K32" s="28"/>
      <c r="L32" s="40"/>
      <c r="M32" s="28"/>
    </row>
    <row r="33" spans="1:13" ht="24" customHeight="1">
      <c r="A33" s="31"/>
      <c r="B33" s="25"/>
      <c r="C33" s="21"/>
      <c r="D33" s="21"/>
      <c r="E33" s="32"/>
      <c r="F33" s="32"/>
      <c r="G33" s="42"/>
      <c r="H33" s="28"/>
      <c r="I33" s="28"/>
      <c r="J33" s="28"/>
      <c r="K33" s="28"/>
      <c r="L33" s="40"/>
      <c r="M33" s="28"/>
    </row>
    <row r="34" spans="1:13" ht="24" customHeight="1">
      <c r="A34" s="31"/>
      <c r="B34" s="25"/>
      <c r="C34" s="21"/>
      <c r="D34" s="21"/>
      <c r="E34" s="32"/>
      <c r="F34" s="32"/>
      <c r="G34" s="42"/>
      <c r="H34" s="28"/>
      <c r="I34" s="28"/>
      <c r="J34" s="28"/>
      <c r="K34" s="28"/>
      <c r="L34" s="40"/>
      <c r="M34" s="28"/>
    </row>
    <row r="35" spans="1:13" ht="24" customHeight="1">
      <c r="A35" s="31"/>
      <c r="B35" s="25"/>
      <c r="C35" s="21"/>
      <c r="D35" s="21"/>
      <c r="E35" s="32"/>
      <c r="F35" s="32"/>
      <c r="G35" s="42"/>
      <c r="H35" s="28"/>
      <c r="I35" s="28"/>
      <c r="J35" s="28"/>
      <c r="K35" s="28"/>
      <c r="L35" s="40"/>
      <c r="M35" s="28"/>
    </row>
    <row r="36" spans="1:13" ht="24" customHeight="1">
      <c r="A36" s="31"/>
      <c r="B36" s="25"/>
      <c r="C36" s="21"/>
      <c r="D36" s="21"/>
      <c r="E36" s="32"/>
      <c r="F36" s="32"/>
      <c r="G36" s="42"/>
      <c r="H36" s="28"/>
      <c r="I36" s="28"/>
      <c r="J36" s="28">
        <f>SUM(J10:J17)</f>
        <v>0</v>
      </c>
      <c r="K36" s="28">
        <f>F37-J36</f>
        <v>0</v>
      </c>
      <c r="L36" s="40" t="e">
        <f>K36/F37</f>
        <v>#DIV/0!</v>
      </c>
      <c r="M36" s="28"/>
    </row>
    <row r="37" spans="1:13" ht="24" customHeight="1">
      <c r="A37" s="36"/>
      <c r="B37" s="29" t="s">
        <v>122</v>
      </c>
      <c r="C37" s="30"/>
      <c r="D37" s="30"/>
      <c r="E37" s="37"/>
      <c r="F37" s="38">
        <f>SUM(F10:F18)</f>
        <v>0</v>
      </c>
      <c r="G37" s="39"/>
      <c r="H37" s="28"/>
      <c r="I37" s="28"/>
      <c r="J37" s="28"/>
      <c r="K37" s="28"/>
      <c r="L37" s="40"/>
      <c r="M37" s="28"/>
    </row>
    <row r="38" spans="1:13">
      <c r="A38" s="31"/>
      <c r="B38" s="25"/>
      <c r="C38" s="21"/>
      <c r="D38" s="21"/>
      <c r="E38" s="32"/>
      <c r="F38" s="32"/>
      <c r="G38" s="42"/>
      <c r="H38" s="28"/>
      <c r="J38" s="28"/>
      <c r="K38" s="28"/>
      <c r="L38" s="28"/>
      <c r="M38" s="28"/>
    </row>
    <row r="39" spans="1:13">
      <c r="H39" s="28"/>
      <c r="J39" s="28"/>
      <c r="K39" s="28"/>
      <c r="L39" s="28"/>
      <c r="M39" s="28"/>
    </row>
    <row r="40" spans="1:13">
      <c r="H40" s="28"/>
      <c r="J40" s="28"/>
      <c r="K40" s="28"/>
      <c r="L40" s="28"/>
      <c r="M40" s="28"/>
    </row>
    <row r="41" spans="1:13">
      <c r="H41" s="28"/>
      <c r="J41" s="28"/>
      <c r="K41" s="28"/>
      <c r="L41" s="28"/>
      <c r="M41" s="28"/>
    </row>
    <row r="64" spans="4:4" ht="25.8">
      <c r="D64" s="19" ph="1"/>
    </row>
  </sheetData>
  <mergeCells count="10">
    <mergeCell ref="A2:G2"/>
    <mergeCell ref="A3:B6"/>
    <mergeCell ref="C3:E3"/>
    <mergeCell ref="F3:G3"/>
    <mergeCell ref="C4:E4"/>
    <mergeCell ref="F4:G4"/>
    <mergeCell ref="C5:E5"/>
    <mergeCell ref="F5:G5"/>
    <mergeCell ref="C6:E6"/>
    <mergeCell ref="F6:G6"/>
  </mergeCells>
  <phoneticPr fontId="8" type="noConversion"/>
  <printOptions horizontalCentered="1"/>
  <pageMargins left="0.59055118110236215" right="0.59055118110236215" top="0.98425196850393704" bottom="0.98425196850393704" header="0.59055118110236215" footer="0.59055118110236215"/>
  <pageSetup paperSize="9" scale="81" fitToHeight="0" orientation="portrait" r:id="rId1"/>
  <headerFooter alignWithMargins="0">
    <oddFooter>&amp;L&amp;F
.&amp;C&amp;P/&amp;N&amp;R&amp;D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報價單</vt:lpstr>
      <vt:lpstr>數量表</vt:lpstr>
      <vt:lpstr>機電空白標單</vt:lpstr>
      <vt:lpstr>報價單!Print_Area</vt:lpstr>
      <vt:lpstr>機電空白標單!Print_Area</vt:lpstr>
      <vt:lpstr>報價單!Print_Titles</vt:lpstr>
      <vt:lpstr>機電空白標單!Print_Titles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jambo</dc:creator>
  <cp:lastModifiedBy>凃政宏</cp:lastModifiedBy>
  <cp:lastPrinted>2025-10-27T02:36:12Z</cp:lastPrinted>
  <dcterms:created xsi:type="dcterms:W3CDTF">2014-10-01T05:47:05Z</dcterms:created>
  <dcterms:modified xsi:type="dcterms:W3CDTF">2026-05-26T06:16:38Z</dcterms:modified>
</cp:coreProperties>
</file>